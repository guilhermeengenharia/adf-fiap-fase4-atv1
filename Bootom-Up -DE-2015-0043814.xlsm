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santos\Documents\HP\Projetos\PROPOSTAS\PACOTE BOLETO\DE-2015-0043814\"/>
    </mc:Choice>
  </mc:AlternateContent>
  <bookViews>
    <workbookView xWindow="-255" yWindow="3975" windowWidth="15135" windowHeight="3180" tabRatio="631" firstSheet="2" activeTab="7"/>
  </bookViews>
  <sheets>
    <sheet name="Instructions" sheetId="9" r:id="rId1"/>
    <sheet name="Criteria" sheetId="16" r:id="rId2"/>
    <sheet name="Matrix(0)" sheetId="2" r:id="rId3"/>
    <sheet name="Produce(1)" sheetId="1" r:id="rId4"/>
    <sheet name="Component Count (2)" sheetId="22" r:id="rId5"/>
    <sheet name="Assumptions(3)" sheetId="4" r:id="rId6"/>
    <sheet name="MDS(4)" sheetId="19" r:id="rId7"/>
    <sheet name="Magnitude(5)" sheetId="3" r:id="rId8"/>
    <sheet name="Pre-staff(4)" sheetId="14" state="hidden" r:id="rId9"/>
    <sheet name="Other Costs" sheetId="10" state="hidden" r:id="rId10"/>
    <sheet name="Calcs" sheetId="18" state="hidden" r:id="rId11"/>
    <sheet name="Grau W IBBA(6)" sheetId="20" r:id="rId12"/>
    <sheet name="Amendment History" sheetId="17" r:id="rId13"/>
    <sheet name="Misselaneuos" sheetId="21" r:id="rId14"/>
    <sheet name="Sheet1" sheetId="23" r:id="rId15"/>
  </sheets>
  <externalReferences>
    <externalReference r:id="rId16"/>
    <externalReference r:id="rId17"/>
  </externalReferences>
  <definedNames>
    <definedName name="Change_Pct" localSheetId="0">Instructions!#REF!</definedName>
    <definedName name="Change_Pct">'Matrix(0)'!$G$4</definedName>
    <definedName name="Effort_Level" localSheetId="0">Instructions!$B$6:$E$14</definedName>
    <definedName name="Effort_Level">'Matrix(0)'!$B$8:$E$20</definedName>
    <definedName name="External_hrs_mo">#REF!</definedName>
    <definedName name="Factor_Range" localSheetId="0">Instructions!#REF!</definedName>
    <definedName name="Factor_Range">'Matrix(0)'!$F$3:$H$5</definedName>
    <definedName name="Internal_hrs_mo">#REF!</definedName>
    <definedName name="Lifts">#REF!</definedName>
    <definedName name="_xlnm.Print_Area" localSheetId="0">Instructions!$A$1:$J$32</definedName>
    <definedName name="_xlnm.Print_Area" localSheetId="2">'Matrix(0)'!$A$2:$O$24</definedName>
    <definedName name="_xlnm.Print_Area" localSheetId="9">'Other Costs'!$A$1:$AE$16</definedName>
    <definedName name="_xlnm.Print_Area" localSheetId="8">'Pre-staff(4)'!$A$1:$F$14</definedName>
    <definedName name="_xlnm.Print_Area" localSheetId="3">'Produce(1)'!$J$1:$DG$39</definedName>
    <definedName name="_xlnm.Print_Titles" localSheetId="9">'Other Costs'!$A:$B,'Other Costs'!$1:$4</definedName>
    <definedName name="_xlnm.Print_Titles" localSheetId="3">'Produce(1)'!$J:$K,'Produce(1)'!$1:$6</definedName>
    <definedName name="Project_Name">Instructions!$C$3</definedName>
    <definedName name="Rep_Pct" localSheetId="0">Instructions!#REF!</definedName>
    <definedName name="Rep_Pct">'Matrix(0)'!$G$5</definedName>
    <definedName name="Total_Hours">'Produce(1)'!$DG$38</definedName>
    <definedName name="Total_Produce">'Produce(1)'!$J$56</definedName>
  </definedNames>
  <calcPr calcId="152511"/>
</workbook>
</file>

<file path=xl/calcChain.xml><?xml version="1.0" encoding="utf-8"?>
<calcChain xmlns="http://schemas.openxmlformats.org/spreadsheetml/2006/main">
  <c r="AJ29" i="1" l="1"/>
  <c r="E49" i="19" l="1"/>
  <c r="E50" i="19"/>
  <c r="E51" i="19"/>
  <c r="E48" i="19"/>
  <c r="E41" i="19"/>
  <c r="E42" i="19"/>
  <c r="E43" i="19"/>
  <c r="E44" i="19"/>
  <c r="E40" i="19"/>
  <c r="E31" i="19"/>
  <c r="E32" i="19"/>
  <c r="E33" i="19"/>
  <c r="E34" i="19"/>
  <c r="E35" i="19"/>
  <c r="E36" i="19"/>
  <c r="E30" i="19"/>
  <c r="E23" i="19"/>
  <c r="E24" i="19"/>
  <c r="E25" i="19"/>
  <c r="E26" i="19"/>
  <c r="E22" i="19"/>
  <c r="E12" i="19"/>
  <c r="E13" i="19"/>
  <c r="E14" i="19"/>
  <c r="E15" i="19"/>
  <c r="E16" i="19"/>
  <c r="E17" i="19"/>
  <c r="E18" i="19"/>
  <c r="E11" i="19"/>
  <c r="E5" i="19"/>
  <c r="E6" i="19"/>
  <c r="E7" i="19"/>
  <c r="E4" i="19"/>
  <c r="E52" i="19" l="1"/>
  <c r="D52" i="19"/>
  <c r="E45" i="19"/>
  <c r="D45" i="19"/>
  <c r="E37" i="19"/>
  <c r="D37" i="19"/>
  <c r="E27" i="19"/>
  <c r="D27" i="19"/>
  <c r="E19" i="19"/>
  <c r="D19" i="19"/>
  <c r="E8" i="19"/>
  <c r="D8" i="19"/>
  <c r="B55" i="19" l="1"/>
  <c r="E53" i="19"/>
  <c r="G13" i="3" s="1"/>
  <c r="B56" i="19"/>
  <c r="E9" i="19"/>
  <c r="G6" i="3" s="1"/>
  <c r="E46" i="19"/>
  <c r="E38" i="19"/>
  <c r="G9" i="3" s="1"/>
  <c r="E28" i="19"/>
  <c r="G8" i="3" s="1"/>
  <c r="E20" i="19"/>
  <c r="G7" i="3" s="1"/>
  <c r="BJ9" i="1"/>
  <c r="BH9" i="1"/>
  <c r="B57" i="19" l="1"/>
  <c r="G11" i="3"/>
  <c r="BJ21" i="1"/>
  <c r="BH21" i="1"/>
  <c r="BJ24" i="1"/>
  <c r="BH24" i="1"/>
  <c r="BJ25" i="1"/>
  <c r="BH25" i="1"/>
  <c r="E15" i="9" l="1"/>
  <c r="E14" i="9"/>
  <c r="F15" i="9"/>
  <c r="F14" i="9"/>
  <c r="F13" i="9"/>
  <c r="E13" i="9"/>
  <c r="BJ32" i="1" l="1"/>
  <c r="BH32" i="1"/>
  <c r="BJ33" i="1"/>
  <c r="BH33" i="1"/>
  <c r="BJ34" i="1"/>
  <c r="BH34" i="1"/>
  <c r="BJ31" i="1"/>
  <c r="BH31" i="1"/>
  <c r="BJ14" i="1"/>
  <c r="BH14" i="1"/>
  <c r="BJ15" i="1"/>
  <c r="BH15" i="1"/>
  <c r="BJ16" i="1"/>
  <c r="BH16" i="1"/>
  <c r="BJ17" i="1"/>
  <c r="BH17" i="1"/>
  <c r="BJ18" i="1"/>
  <c r="BH18" i="1"/>
  <c r="A16" i="21"/>
  <c r="A15" i="21"/>
  <c r="A14" i="21"/>
  <c r="A13" i="21"/>
  <c r="A12" i="21"/>
  <c r="A11" i="21"/>
  <c r="A10" i="21"/>
  <c r="A9" i="21"/>
  <c r="A8" i="21"/>
  <c r="A7" i="21"/>
  <c r="A6" i="21"/>
  <c r="A5" i="21"/>
  <c r="L16" i="3"/>
  <c r="I14" i="3"/>
  <c r="C3" i="9"/>
  <c r="BH26" i="1"/>
  <c r="BH20" i="1"/>
  <c r="BH11" i="1"/>
  <c r="BH10" i="1"/>
  <c r="BH19" i="1"/>
  <c r="BH13" i="1"/>
  <c r="BJ26" i="1"/>
  <c r="BJ20" i="1"/>
  <c r="BJ11" i="1"/>
  <c r="BJ10" i="1"/>
  <c r="BJ19" i="1"/>
  <c r="BJ13" i="1"/>
  <c r="BJ35" i="1"/>
  <c r="BH35" i="1"/>
  <c r="BH36" i="1" s="1"/>
  <c r="BG29" i="1"/>
  <c r="BF29" i="1"/>
  <c r="BE29" i="1"/>
  <c r="BD29" i="1"/>
  <c r="BC29" i="1"/>
  <c r="BB29" i="1"/>
  <c r="BA29" i="1"/>
  <c r="AZ29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D11" i="14"/>
  <c r="F11" i="14"/>
  <c r="AC15" i="10"/>
  <c r="AA15" i="10"/>
  <c r="Y15" i="10"/>
  <c r="W15" i="10"/>
  <c r="U15" i="10"/>
  <c r="O15" i="10"/>
  <c r="M15" i="10"/>
  <c r="K15" i="10"/>
  <c r="I15" i="10"/>
  <c r="G15" i="10"/>
  <c r="AC14" i="10"/>
  <c r="AA14" i="10"/>
  <c r="Y14" i="10"/>
  <c r="W14" i="10"/>
  <c r="U14" i="10"/>
  <c r="O14" i="10"/>
  <c r="M14" i="10"/>
  <c r="K14" i="10"/>
  <c r="I14" i="10"/>
  <c r="F14" i="10"/>
  <c r="G14" i="10" s="1"/>
  <c r="AC13" i="10"/>
  <c r="AA13" i="10"/>
  <c r="AA16" i="10" s="1"/>
  <c r="Y13" i="10"/>
  <c r="W13" i="10"/>
  <c r="W16" i="10" s="1"/>
  <c r="U13" i="10"/>
  <c r="O13" i="10"/>
  <c r="M13" i="10"/>
  <c r="M16" i="10" s="1"/>
  <c r="K13" i="10"/>
  <c r="I13" i="10"/>
  <c r="G13" i="10"/>
  <c r="AC8" i="10"/>
  <c r="AA8" i="10"/>
  <c r="Y8" i="10"/>
  <c r="W8" i="10"/>
  <c r="U8" i="10"/>
  <c r="O8" i="10"/>
  <c r="M8" i="10"/>
  <c r="K8" i="10"/>
  <c r="I8" i="10"/>
  <c r="G8" i="10"/>
  <c r="R7" i="10"/>
  <c r="O7" i="10"/>
  <c r="M7" i="10"/>
  <c r="K7" i="10"/>
  <c r="I7" i="10"/>
  <c r="G7" i="10"/>
  <c r="AC6" i="10"/>
  <c r="AA6" i="10"/>
  <c r="AA9" i="10" s="1"/>
  <c r="Y6" i="10"/>
  <c r="W6" i="10"/>
  <c r="U6" i="10"/>
  <c r="O6" i="10"/>
  <c r="O9" i="10" s="1"/>
  <c r="M6" i="10"/>
  <c r="K6" i="10"/>
  <c r="I6" i="10"/>
  <c r="G6" i="10"/>
  <c r="E1" i="10"/>
  <c r="R1" i="10" s="1"/>
  <c r="F53" i="1"/>
  <c r="F49" i="1"/>
  <c r="F45" i="1"/>
  <c r="E13" i="14"/>
  <c r="A1" i="14"/>
  <c r="B17" i="3"/>
  <c r="A1" i="3"/>
  <c r="E20" i="2"/>
  <c r="J20" i="2" s="1"/>
  <c r="E19" i="2"/>
  <c r="J19" i="2"/>
  <c r="E12" i="2"/>
  <c r="D12" i="2"/>
  <c r="I12" i="2" s="1"/>
  <c r="C12" i="2"/>
  <c r="B12" i="2"/>
  <c r="L12" i="2" s="1"/>
  <c r="E11" i="2"/>
  <c r="D11" i="2"/>
  <c r="N11" i="2" s="1"/>
  <c r="C11" i="2"/>
  <c r="B11" i="2"/>
  <c r="E10" i="2"/>
  <c r="D10" i="2"/>
  <c r="I10" i="2" s="1"/>
  <c r="C10" i="2"/>
  <c r="B10" i="2"/>
  <c r="B9" i="2"/>
  <c r="C9" i="2"/>
  <c r="H9" i="2" s="1"/>
  <c r="D9" i="2"/>
  <c r="E9" i="2"/>
  <c r="B13" i="2"/>
  <c r="L13" i="2" s="1"/>
  <c r="C13" i="2"/>
  <c r="H13" i="2" s="1"/>
  <c r="D13" i="2"/>
  <c r="E13" i="2"/>
  <c r="B14" i="2"/>
  <c r="G14" i="2" s="1"/>
  <c r="C14" i="2"/>
  <c r="H14" i="2" s="1"/>
  <c r="D14" i="2"/>
  <c r="E14" i="2"/>
  <c r="B15" i="2"/>
  <c r="L15" i="2" s="1"/>
  <c r="C15" i="2"/>
  <c r="H15" i="2" s="1"/>
  <c r="D15" i="2"/>
  <c r="E15" i="2"/>
  <c r="B16" i="2"/>
  <c r="L16" i="2" s="1"/>
  <c r="C16" i="2"/>
  <c r="M16" i="2" s="1"/>
  <c r="D16" i="2"/>
  <c r="E16" i="2"/>
  <c r="B17" i="2"/>
  <c r="G17" i="2" s="1"/>
  <c r="C17" i="2"/>
  <c r="H17" i="2" s="1"/>
  <c r="D17" i="2"/>
  <c r="N17" i="2"/>
  <c r="E17" i="2"/>
  <c r="O17" i="2" s="1"/>
  <c r="B18" i="2"/>
  <c r="G18" i="2" s="1"/>
  <c r="C18" i="2"/>
  <c r="D18" i="2"/>
  <c r="E18" i="2"/>
  <c r="J18" i="2" s="1"/>
  <c r="B19" i="2"/>
  <c r="G19" i="2" s="1"/>
  <c r="C19" i="2"/>
  <c r="D19" i="2"/>
  <c r="B20" i="2"/>
  <c r="L20" i="2" s="1"/>
  <c r="C20" i="2"/>
  <c r="D20" i="2"/>
  <c r="BJ12" i="1"/>
  <c r="BJ8" i="1"/>
  <c r="AZ5" i="1"/>
  <c r="CY5" i="1" s="1"/>
  <c r="BD5" i="1"/>
  <c r="DC5" i="1" s="1"/>
  <c r="AV5" i="1"/>
  <c r="CU5" i="1" s="1"/>
  <c r="X5" i="1"/>
  <c r="BW5" i="1" s="1"/>
  <c r="T5" i="1"/>
  <c r="BS5" i="1" s="1"/>
  <c r="BH12" i="1"/>
  <c r="BH8" i="1"/>
  <c r="AR5" i="1"/>
  <c r="CQ5" i="1" s="1"/>
  <c r="AN5" i="1"/>
  <c r="CM5" i="1" s="1"/>
  <c r="AJ5" i="1"/>
  <c r="CI5" i="1" s="1"/>
  <c r="AF5" i="1"/>
  <c r="CE5" i="1" s="1"/>
  <c r="AB5" i="1"/>
  <c r="CA5" i="1" s="1"/>
  <c r="P5" i="1"/>
  <c r="BO5" i="1" s="1"/>
  <c r="L5" i="1"/>
  <c r="BK5" i="1" s="1"/>
  <c r="A6" i="4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C11" i="14"/>
  <c r="O20" i="2"/>
  <c r="M11" i="2"/>
  <c r="M13" i="2"/>
  <c r="M15" i="2"/>
  <c r="I13" i="2"/>
  <c r="M10" i="2"/>
  <c r="L17" i="2"/>
  <c r="M20" i="2"/>
  <c r="J17" i="2"/>
  <c r="M19" i="2"/>
  <c r="L19" i="2"/>
  <c r="N15" i="2"/>
  <c r="H10" i="2"/>
  <c r="L14" i="2"/>
  <c r="G13" i="2"/>
  <c r="L18" i="2"/>
  <c r="N20" i="2"/>
  <c r="H16" i="2"/>
  <c r="O18" i="2"/>
  <c r="N10" i="2"/>
  <c r="M12" i="2"/>
  <c r="M14" i="2"/>
  <c r="I12" i="3"/>
  <c r="DC12" i="1" l="1"/>
  <c r="I9" i="10"/>
  <c r="AD8" i="10"/>
  <c r="AE8" i="10" s="1"/>
  <c r="P14" i="10"/>
  <c r="O16" i="10"/>
  <c r="M17" i="2"/>
  <c r="G16" i="2"/>
  <c r="N12" i="2"/>
  <c r="M9" i="2"/>
  <c r="I11" i="2"/>
  <c r="G15" i="2"/>
  <c r="CJ33" i="1"/>
  <c r="G9" i="10"/>
  <c r="K16" i="10"/>
  <c r="DA9" i="1"/>
  <c r="DA24" i="1"/>
  <c r="DA21" i="1"/>
  <c r="DA25" i="1"/>
  <c r="N18" i="2"/>
  <c r="CW9" i="1"/>
  <c r="CW21" i="1"/>
  <c r="CW24" i="1"/>
  <c r="CW25" i="1"/>
  <c r="CP9" i="1"/>
  <c r="CP21" i="1"/>
  <c r="CP25" i="1"/>
  <c r="CP24" i="1"/>
  <c r="O14" i="2"/>
  <c r="CH9" i="1"/>
  <c r="CH24" i="1"/>
  <c r="CH21" i="1"/>
  <c r="CH25" i="1"/>
  <c r="J9" i="2"/>
  <c r="BN9" i="1"/>
  <c r="BN21" i="1"/>
  <c r="BN25" i="1"/>
  <c r="BN24" i="1"/>
  <c r="G12" i="2"/>
  <c r="BW9" i="1"/>
  <c r="BW25" i="1"/>
  <c r="BW21" i="1"/>
  <c r="BW24" i="1"/>
  <c r="G16" i="10"/>
  <c r="I18" i="2"/>
  <c r="I20" i="2"/>
  <c r="DE9" i="1"/>
  <c r="DE24" i="1"/>
  <c r="DE21" i="1"/>
  <c r="DE25" i="1"/>
  <c r="M18" i="2"/>
  <c r="CV9" i="1"/>
  <c r="CV25" i="1"/>
  <c r="CV21" i="1"/>
  <c r="CV24" i="1"/>
  <c r="N16" i="2"/>
  <c r="CO9" i="1"/>
  <c r="CO21" i="1"/>
  <c r="CO25" i="1"/>
  <c r="CO24" i="1"/>
  <c r="CC9" i="1"/>
  <c r="CC21" i="1"/>
  <c r="CC24" i="1"/>
  <c r="CC25" i="1"/>
  <c r="BP9" i="1"/>
  <c r="BP24" i="1"/>
  <c r="BP25" i="1"/>
  <c r="BP21" i="1"/>
  <c r="BX9" i="1"/>
  <c r="BX21" i="1"/>
  <c r="BX25" i="1"/>
  <c r="BX24" i="1"/>
  <c r="AD13" i="10"/>
  <c r="AD14" i="10"/>
  <c r="AE14" i="10" s="1"/>
  <c r="H20" i="2"/>
  <c r="DD9" i="1"/>
  <c r="DD21" i="1"/>
  <c r="DD25" i="1"/>
  <c r="DD24" i="1"/>
  <c r="CY9" i="1"/>
  <c r="CY25" i="1"/>
  <c r="CY24" i="1"/>
  <c r="CY21" i="1"/>
  <c r="CU9" i="1"/>
  <c r="CU24" i="1"/>
  <c r="CU21" i="1"/>
  <c r="CU25" i="1"/>
  <c r="CR9" i="1"/>
  <c r="CR25" i="1"/>
  <c r="CR21" i="1"/>
  <c r="CR24" i="1"/>
  <c r="CN9" i="1"/>
  <c r="CN21" i="1"/>
  <c r="CN24" i="1"/>
  <c r="CN25" i="1"/>
  <c r="CJ9" i="1"/>
  <c r="CJ24" i="1"/>
  <c r="CJ21" i="1"/>
  <c r="CJ25" i="1"/>
  <c r="CF9" i="1"/>
  <c r="CF21" i="1"/>
  <c r="CF24" i="1"/>
  <c r="CF25" i="1"/>
  <c r="CB9" i="1"/>
  <c r="CB24" i="1"/>
  <c r="CB21" i="1"/>
  <c r="CB25" i="1"/>
  <c r="BL9" i="1"/>
  <c r="BL25" i="1"/>
  <c r="BL21" i="1"/>
  <c r="BL24" i="1"/>
  <c r="BQ9" i="1"/>
  <c r="BQ21" i="1"/>
  <c r="BQ24" i="1"/>
  <c r="BQ25" i="1"/>
  <c r="BU9" i="1"/>
  <c r="BU24" i="1"/>
  <c r="BU25" i="1"/>
  <c r="BU21" i="1"/>
  <c r="BY9" i="1"/>
  <c r="BY24" i="1"/>
  <c r="BY25" i="1"/>
  <c r="BY21" i="1"/>
  <c r="DF9" i="1"/>
  <c r="DF24" i="1"/>
  <c r="DF25" i="1"/>
  <c r="DF21" i="1"/>
  <c r="Y16" i="10"/>
  <c r="BR35" i="1"/>
  <c r="BR36" i="1" s="1"/>
  <c r="CL9" i="1"/>
  <c r="CL25" i="1"/>
  <c r="CL21" i="1"/>
  <c r="CL24" i="1"/>
  <c r="CD9" i="1"/>
  <c r="CD21" i="1"/>
  <c r="CD25" i="1"/>
  <c r="CD24" i="1"/>
  <c r="L10" i="2"/>
  <c r="BO9" i="1"/>
  <c r="BO24" i="1"/>
  <c r="BO25" i="1"/>
  <c r="BO21" i="1"/>
  <c r="L11" i="2"/>
  <c r="BS9" i="1"/>
  <c r="BS25" i="1"/>
  <c r="BS24" i="1"/>
  <c r="BS21" i="1"/>
  <c r="H19" i="2"/>
  <c r="CZ9" i="1"/>
  <c r="CZ24" i="1"/>
  <c r="CZ21" i="1"/>
  <c r="CZ25" i="1"/>
  <c r="I17" i="2"/>
  <c r="CS9" i="1"/>
  <c r="CS25" i="1"/>
  <c r="CS24" i="1"/>
  <c r="CS21" i="1"/>
  <c r="I15" i="2"/>
  <c r="CK9" i="1"/>
  <c r="CK21" i="1"/>
  <c r="CK25" i="1"/>
  <c r="CK24" i="1"/>
  <c r="N14" i="2"/>
  <c r="CG9" i="1"/>
  <c r="CG21" i="1"/>
  <c r="CG24" i="1"/>
  <c r="CG25" i="1"/>
  <c r="I9" i="2"/>
  <c r="BM9" i="1"/>
  <c r="BM24" i="1"/>
  <c r="BM25" i="1"/>
  <c r="BM21" i="1"/>
  <c r="BT9" i="1"/>
  <c r="BT25" i="1"/>
  <c r="BT24" i="1"/>
  <c r="BT21" i="1"/>
  <c r="DB9" i="1"/>
  <c r="DB25" i="1"/>
  <c r="DB24" i="1"/>
  <c r="DB21" i="1"/>
  <c r="M9" i="10"/>
  <c r="P13" i="10"/>
  <c r="G11" i="2"/>
  <c r="H18" i="2"/>
  <c r="O19" i="2"/>
  <c r="H12" i="2"/>
  <c r="G10" i="2"/>
  <c r="I14" i="2"/>
  <c r="N13" i="2"/>
  <c r="H11" i="2"/>
  <c r="I16" i="10"/>
  <c r="G20" i="2"/>
  <c r="DC9" i="1"/>
  <c r="DC21" i="1"/>
  <c r="DC24" i="1"/>
  <c r="DC25" i="1"/>
  <c r="CX9" i="1"/>
  <c r="CX24" i="1"/>
  <c r="CX21" i="1"/>
  <c r="CX25" i="1"/>
  <c r="CT9" i="1"/>
  <c r="CT21" i="1"/>
  <c r="CT25" i="1"/>
  <c r="CT24" i="1"/>
  <c r="CQ9" i="1"/>
  <c r="CQ21" i="1"/>
  <c r="CQ25" i="1"/>
  <c r="CQ24" i="1"/>
  <c r="CM9" i="1"/>
  <c r="CM24" i="1"/>
  <c r="CM25" i="1"/>
  <c r="CM21" i="1"/>
  <c r="CI9" i="1"/>
  <c r="CI21" i="1"/>
  <c r="CI24" i="1"/>
  <c r="CI25" i="1"/>
  <c r="CE9" i="1"/>
  <c r="CE25" i="1"/>
  <c r="CE24" i="1"/>
  <c r="CE21" i="1"/>
  <c r="CA9" i="1"/>
  <c r="CA21" i="1"/>
  <c r="CA25" i="1"/>
  <c r="CA24" i="1"/>
  <c r="BK9" i="1"/>
  <c r="BK21" i="1"/>
  <c r="BK24" i="1"/>
  <c r="BK25" i="1"/>
  <c r="O10" i="2"/>
  <c r="BR9" i="1"/>
  <c r="BR24" i="1"/>
  <c r="BR21" i="1"/>
  <c r="BR25" i="1"/>
  <c r="J11" i="2"/>
  <c r="BV9" i="1"/>
  <c r="BV25" i="1"/>
  <c r="BV21" i="1"/>
  <c r="BV24" i="1"/>
  <c r="BZ9" i="1"/>
  <c r="BZ24" i="1"/>
  <c r="BZ25" i="1"/>
  <c r="BZ21" i="1"/>
  <c r="P6" i="10"/>
  <c r="U16" i="10"/>
  <c r="AD15" i="10"/>
  <c r="AE15" i="10" s="1"/>
  <c r="CX13" i="1"/>
  <c r="DC18" i="1"/>
  <c r="DC16" i="1"/>
  <c r="DC14" i="1"/>
  <c r="DC34" i="1"/>
  <c r="DD32" i="1"/>
  <c r="CC32" i="1"/>
  <c r="P38" i="1"/>
  <c r="T38" i="1"/>
  <c r="X38" i="1"/>
  <c r="AB38" i="1"/>
  <c r="AF38" i="1"/>
  <c r="AJ38" i="1"/>
  <c r="AK38" i="1"/>
  <c r="BT33" i="1"/>
  <c r="AM38" i="1"/>
  <c r="AQ38" i="1"/>
  <c r="AU38" i="1"/>
  <c r="AY38" i="1"/>
  <c r="BC38" i="1"/>
  <c r="BG38" i="1"/>
  <c r="M38" i="1"/>
  <c r="AN38" i="1"/>
  <c r="AR38" i="1"/>
  <c r="AV38" i="1"/>
  <c r="AZ38" i="1"/>
  <c r="BD38" i="1"/>
  <c r="BT32" i="1"/>
  <c r="CB32" i="1"/>
  <c r="BL32" i="1"/>
  <c r="CJ32" i="1"/>
  <c r="CR32" i="1"/>
  <c r="BU32" i="1"/>
  <c r="CZ32" i="1"/>
  <c r="BL12" i="1"/>
  <c r="J15" i="2"/>
  <c r="O15" i="2"/>
  <c r="AD6" i="10"/>
  <c r="Y7" i="10"/>
  <c r="AC7" i="10"/>
  <c r="AC9" i="10" s="1"/>
  <c r="U7" i="10"/>
  <c r="J10" i="2"/>
  <c r="O11" i="2"/>
  <c r="W7" i="10"/>
  <c r="W9" i="10" s="1"/>
  <c r="K9" i="10"/>
  <c r="P8" i="10"/>
  <c r="AC16" i="10"/>
  <c r="BF38" i="1"/>
  <c r="L17" i="3"/>
  <c r="J13" i="2"/>
  <c r="O13" i="2"/>
  <c r="O9" i="2"/>
  <c r="Y9" i="10"/>
  <c r="P7" i="10"/>
  <c r="O38" i="1"/>
  <c r="S38" i="1"/>
  <c r="W38" i="1"/>
  <c r="AA38" i="1"/>
  <c r="AE38" i="1"/>
  <c r="AI38" i="1"/>
  <c r="L1" i="1"/>
  <c r="BJ1" i="1" s="1"/>
  <c r="A5" i="1"/>
  <c r="L3" i="1" s="1"/>
  <c r="I19" i="2"/>
  <c r="N19" i="2"/>
  <c r="DA32" i="1"/>
  <c r="J16" i="2"/>
  <c r="O16" i="2"/>
  <c r="J14" i="2"/>
  <c r="L9" i="2"/>
  <c r="G9" i="2"/>
  <c r="O12" i="2"/>
  <c r="J12" i="2"/>
  <c r="BM32" i="1"/>
  <c r="N9" i="2"/>
  <c r="I16" i="2"/>
  <c r="CP8" i="1"/>
  <c r="Q38" i="1"/>
  <c r="U38" i="1"/>
  <c r="Y38" i="1"/>
  <c r="AC38" i="1"/>
  <c r="AG38" i="1"/>
  <c r="AO38" i="1"/>
  <c r="AS38" i="1"/>
  <c r="AW38" i="1"/>
  <c r="BA38" i="1"/>
  <c r="BE38" i="1"/>
  <c r="CW20" i="1"/>
  <c r="DC17" i="1"/>
  <c r="DC15" i="1"/>
  <c r="DC31" i="1"/>
  <c r="DC33" i="1"/>
  <c r="BP32" i="1"/>
  <c r="BX32" i="1"/>
  <c r="CF32" i="1"/>
  <c r="CN32" i="1"/>
  <c r="CV32" i="1"/>
  <c r="L38" i="1"/>
  <c r="CS11" i="1"/>
  <c r="CZ33" i="1"/>
  <c r="CK32" i="1"/>
  <c r="CS32" i="1"/>
  <c r="N38" i="1"/>
  <c r="R38" i="1"/>
  <c r="V38" i="1"/>
  <c r="Z38" i="1"/>
  <c r="AD38" i="1"/>
  <c r="AH38" i="1"/>
  <c r="AL38" i="1"/>
  <c r="AP38" i="1"/>
  <c r="AT38" i="1"/>
  <c r="AX38" i="1"/>
  <c r="BB38" i="1"/>
  <c r="CE19" i="1"/>
  <c r="BS26" i="1"/>
  <c r="G17" i="3"/>
  <c r="DC32" i="1"/>
  <c r="BQ32" i="1"/>
  <c r="BY32" i="1"/>
  <c r="CG32" i="1"/>
  <c r="CO32" i="1"/>
  <c r="CW32" i="1"/>
  <c r="DE32" i="1"/>
  <c r="BX33" i="1"/>
  <c r="CN33" i="1"/>
  <c r="BT12" i="1"/>
  <c r="BL33" i="1"/>
  <c r="CB33" i="1"/>
  <c r="CR33" i="1"/>
  <c r="BN32" i="1"/>
  <c r="BR32" i="1"/>
  <c r="BV32" i="1"/>
  <c r="BZ32" i="1"/>
  <c r="CD32" i="1"/>
  <c r="CH32" i="1"/>
  <c r="CL32" i="1"/>
  <c r="CP32" i="1"/>
  <c r="CT32" i="1"/>
  <c r="CX32" i="1"/>
  <c r="DB32" i="1"/>
  <c r="DF32" i="1"/>
  <c r="BN20" i="1"/>
  <c r="BP33" i="1"/>
  <c r="CF33" i="1"/>
  <c r="CV33" i="1"/>
  <c r="BK32" i="1"/>
  <c r="BO32" i="1"/>
  <c r="BS32" i="1"/>
  <c r="BW32" i="1"/>
  <c r="CA32" i="1"/>
  <c r="CE32" i="1"/>
  <c r="CI32" i="1"/>
  <c r="CM32" i="1"/>
  <c r="CQ32" i="1"/>
  <c r="CU32" i="1"/>
  <c r="CY32" i="1"/>
  <c r="BQ34" i="1"/>
  <c r="BY34" i="1"/>
  <c r="CG34" i="1"/>
  <c r="CO34" i="1"/>
  <c r="CW34" i="1"/>
  <c r="DE34" i="1"/>
  <c r="DD33" i="1"/>
  <c r="BL34" i="1"/>
  <c r="BT34" i="1"/>
  <c r="CB34" i="1"/>
  <c r="CJ34" i="1"/>
  <c r="CR34" i="1"/>
  <c r="CZ34" i="1"/>
  <c r="BM33" i="1"/>
  <c r="BQ33" i="1"/>
  <c r="BU33" i="1"/>
  <c r="BY33" i="1"/>
  <c r="CC33" i="1"/>
  <c r="CG33" i="1"/>
  <c r="CK33" i="1"/>
  <c r="CO33" i="1"/>
  <c r="CS33" i="1"/>
  <c r="CW33" i="1"/>
  <c r="DA33" i="1"/>
  <c r="DE33" i="1"/>
  <c r="BM34" i="1"/>
  <c r="BU34" i="1"/>
  <c r="CC34" i="1"/>
  <c r="CK34" i="1"/>
  <c r="CS34" i="1"/>
  <c r="DA34" i="1"/>
  <c r="BN33" i="1"/>
  <c r="BR33" i="1"/>
  <c r="BV33" i="1"/>
  <c r="BZ33" i="1"/>
  <c r="CD33" i="1"/>
  <c r="CH33" i="1"/>
  <c r="CL33" i="1"/>
  <c r="CP33" i="1"/>
  <c r="CT33" i="1"/>
  <c r="CX33" i="1"/>
  <c r="DB33" i="1"/>
  <c r="DF33" i="1"/>
  <c r="CZ19" i="1"/>
  <c r="BP34" i="1"/>
  <c r="BX34" i="1"/>
  <c r="CF34" i="1"/>
  <c r="CN34" i="1"/>
  <c r="CV34" i="1"/>
  <c r="DD34" i="1"/>
  <c r="BK33" i="1"/>
  <c r="BO33" i="1"/>
  <c r="BS33" i="1"/>
  <c r="BW33" i="1"/>
  <c r="CA33" i="1"/>
  <c r="CE33" i="1"/>
  <c r="CI33" i="1"/>
  <c r="CM33" i="1"/>
  <c r="CQ33" i="1"/>
  <c r="CU33" i="1"/>
  <c r="CY33" i="1"/>
  <c r="BQ31" i="1"/>
  <c r="CG31" i="1"/>
  <c r="CW31" i="1"/>
  <c r="BT31" i="1"/>
  <c r="CZ31" i="1"/>
  <c r="BY31" i="1"/>
  <c r="CO31" i="1"/>
  <c r="DE31" i="1"/>
  <c r="BK12" i="1"/>
  <c r="BL31" i="1"/>
  <c r="CB31" i="1"/>
  <c r="CJ31" i="1"/>
  <c r="CR31" i="1"/>
  <c r="CH35" i="1"/>
  <c r="CH36" i="1" s="1"/>
  <c r="CH12" i="1"/>
  <c r="BM31" i="1"/>
  <c r="BU31" i="1"/>
  <c r="CC31" i="1"/>
  <c r="CK31" i="1"/>
  <c r="CS31" i="1"/>
  <c r="DA31" i="1"/>
  <c r="BN34" i="1"/>
  <c r="BR34" i="1"/>
  <c r="BV34" i="1"/>
  <c r="BZ34" i="1"/>
  <c r="CD34" i="1"/>
  <c r="CH34" i="1"/>
  <c r="CL34" i="1"/>
  <c r="CP34" i="1"/>
  <c r="CT34" i="1"/>
  <c r="CX34" i="1"/>
  <c r="DB34" i="1"/>
  <c r="DF34" i="1"/>
  <c r="BU12" i="1"/>
  <c r="BO12" i="1"/>
  <c r="BP31" i="1"/>
  <c r="BX31" i="1"/>
  <c r="CF31" i="1"/>
  <c r="CN31" i="1"/>
  <c r="CV31" i="1"/>
  <c r="DD31" i="1"/>
  <c r="BK34" i="1"/>
  <c r="BO34" i="1"/>
  <c r="BS34" i="1"/>
  <c r="BW34" i="1"/>
  <c r="CA34" i="1"/>
  <c r="CE34" i="1"/>
  <c r="CI34" i="1"/>
  <c r="CM34" i="1"/>
  <c r="CQ34" i="1"/>
  <c r="CU34" i="1"/>
  <c r="CY34" i="1"/>
  <c r="BN31" i="1"/>
  <c r="BR31" i="1"/>
  <c r="BV31" i="1"/>
  <c r="BZ31" i="1"/>
  <c r="CD31" i="1"/>
  <c r="CH31" i="1"/>
  <c r="CL31" i="1"/>
  <c r="CP31" i="1"/>
  <c r="CT31" i="1"/>
  <c r="CX31" i="1"/>
  <c r="DB31" i="1"/>
  <c r="DF31" i="1"/>
  <c r="BL26" i="1"/>
  <c r="CG12" i="1"/>
  <c r="CX20" i="1"/>
  <c r="CW19" i="1"/>
  <c r="CV12" i="1"/>
  <c r="BK31" i="1"/>
  <c r="BO31" i="1"/>
  <c r="BS31" i="1"/>
  <c r="BW31" i="1"/>
  <c r="CA31" i="1"/>
  <c r="CE31" i="1"/>
  <c r="CI31" i="1"/>
  <c r="CM31" i="1"/>
  <c r="CQ31" i="1"/>
  <c r="CU31" i="1"/>
  <c r="CY31" i="1"/>
  <c r="BL14" i="1"/>
  <c r="BP14" i="1"/>
  <c r="BT14" i="1"/>
  <c r="BX14" i="1"/>
  <c r="CB14" i="1"/>
  <c r="CF14" i="1"/>
  <c r="CJ14" i="1"/>
  <c r="CN14" i="1"/>
  <c r="CR14" i="1"/>
  <c r="CV14" i="1"/>
  <c r="CZ14" i="1"/>
  <c r="DD14" i="1"/>
  <c r="CU12" i="1"/>
  <c r="CY12" i="1"/>
  <c r="CJ12" i="1"/>
  <c r="CT12" i="1"/>
  <c r="BM14" i="1"/>
  <c r="BQ14" i="1"/>
  <c r="BU14" i="1"/>
  <c r="BY14" i="1"/>
  <c r="CC14" i="1"/>
  <c r="CG14" i="1"/>
  <c r="CK14" i="1"/>
  <c r="CO14" i="1"/>
  <c r="CS14" i="1"/>
  <c r="CW14" i="1"/>
  <c r="DA14" i="1"/>
  <c r="DE14" i="1"/>
  <c r="BN14" i="1"/>
  <c r="BR14" i="1"/>
  <c r="BV14" i="1"/>
  <c r="BZ14" i="1"/>
  <c r="CD14" i="1"/>
  <c r="CH14" i="1"/>
  <c r="CL14" i="1"/>
  <c r="CP14" i="1"/>
  <c r="CT14" i="1"/>
  <c r="CX14" i="1"/>
  <c r="DB14" i="1"/>
  <c r="DF14" i="1"/>
  <c r="CF12" i="1"/>
  <c r="DB12" i="1"/>
  <c r="CB12" i="1"/>
  <c r="DC19" i="1"/>
  <c r="BK14" i="1"/>
  <c r="BO14" i="1"/>
  <c r="BS14" i="1"/>
  <c r="BW14" i="1"/>
  <c r="CA14" i="1"/>
  <c r="CE14" i="1"/>
  <c r="CI14" i="1"/>
  <c r="CM14" i="1"/>
  <c r="CQ14" i="1"/>
  <c r="CU14" i="1"/>
  <c r="CY14" i="1"/>
  <c r="BX16" i="1"/>
  <c r="CN16" i="1"/>
  <c r="DD16" i="1"/>
  <c r="BL15" i="1"/>
  <c r="BP15" i="1"/>
  <c r="BT15" i="1"/>
  <c r="BX15" i="1"/>
  <c r="CB15" i="1"/>
  <c r="CF15" i="1"/>
  <c r="CJ15" i="1"/>
  <c r="CN15" i="1"/>
  <c r="CR15" i="1"/>
  <c r="CV15" i="1"/>
  <c r="CZ15" i="1"/>
  <c r="DD15" i="1"/>
  <c r="CR12" i="1"/>
  <c r="BY12" i="1"/>
  <c r="DE12" i="1"/>
  <c r="BW12" i="1"/>
  <c r="CA12" i="1"/>
  <c r="CW12" i="1"/>
  <c r="CQ12" i="1"/>
  <c r="BL16" i="1"/>
  <c r="CB16" i="1"/>
  <c r="CR16" i="1"/>
  <c r="BM15" i="1"/>
  <c r="BQ15" i="1"/>
  <c r="BU15" i="1"/>
  <c r="BY15" i="1"/>
  <c r="CC15" i="1"/>
  <c r="CG15" i="1"/>
  <c r="CK15" i="1"/>
  <c r="CO15" i="1"/>
  <c r="CS15" i="1"/>
  <c r="CW15" i="1"/>
  <c r="DA15" i="1"/>
  <c r="DE15" i="1"/>
  <c r="BP16" i="1"/>
  <c r="CF16" i="1"/>
  <c r="CV16" i="1"/>
  <c r="BN15" i="1"/>
  <c r="BR15" i="1"/>
  <c r="BV15" i="1"/>
  <c r="BZ15" i="1"/>
  <c r="CD15" i="1"/>
  <c r="CH15" i="1"/>
  <c r="CL15" i="1"/>
  <c r="CP15" i="1"/>
  <c r="CT15" i="1"/>
  <c r="CX15" i="1"/>
  <c r="DB15" i="1"/>
  <c r="DF15" i="1"/>
  <c r="DC26" i="1"/>
  <c r="CN12" i="1"/>
  <c r="BP12" i="1"/>
  <c r="BV12" i="1"/>
  <c r="CE12" i="1"/>
  <c r="BX12" i="1"/>
  <c r="BW19" i="1"/>
  <c r="BS8" i="1"/>
  <c r="DC11" i="1"/>
  <c r="CS12" i="1"/>
  <c r="DD12" i="1"/>
  <c r="BT16" i="1"/>
  <c r="CJ16" i="1"/>
  <c r="CZ16" i="1"/>
  <c r="BK15" i="1"/>
  <c r="BO15" i="1"/>
  <c r="BS15" i="1"/>
  <c r="BW15" i="1"/>
  <c r="CA15" i="1"/>
  <c r="CE15" i="1"/>
  <c r="CI15" i="1"/>
  <c r="CM15" i="1"/>
  <c r="CQ15" i="1"/>
  <c r="CU15" i="1"/>
  <c r="CY15" i="1"/>
  <c r="BQ17" i="1"/>
  <c r="CG17" i="1"/>
  <c r="BL19" i="1"/>
  <c r="BX19" i="1"/>
  <c r="CR19" i="1"/>
  <c r="BL17" i="1"/>
  <c r="BT17" i="1"/>
  <c r="CB17" i="1"/>
  <c r="CJ17" i="1"/>
  <c r="CR17" i="1"/>
  <c r="CZ17" i="1"/>
  <c r="BM16" i="1"/>
  <c r="BQ16" i="1"/>
  <c r="BU16" i="1"/>
  <c r="BY16" i="1"/>
  <c r="CC16" i="1"/>
  <c r="CG16" i="1"/>
  <c r="CK16" i="1"/>
  <c r="CO16" i="1"/>
  <c r="CS16" i="1"/>
  <c r="CW16" i="1"/>
  <c r="DA16" i="1"/>
  <c r="DE16" i="1"/>
  <c r="CW17" i="1"/>
  <c r="CC26" i="1"/>
  <c r="BT19" i="1"/>
  <c r="BW26" i="1"/>
  <c r="CZ26" i="1"/>
  <c r="BM26" i="1"/>
  <c r="BM17" i="1"/>
  <c r="BU17" i="1"/>
  <c r="CC17" i="1"/>
  <c r="CK17" i="1"/>
  <c r="CS17" i="1"/>
  <c r="DA17" i="1"/>
  <c r="BN16" i="1"/>
  <c r="BR16" i="1"/>
  <c r="BV16" i="1"/>
  <c r="BZ16" i="1"/>
  <c r="CD16" i="1"/>
  <c r="CH16" i="1"/>
  <c r="CL16" i="1"/>
  <c r="CP16" i="1"/>
  <c r="CT16" i="1"/>
  <c r="CX16" i="1"/>
  <c r="DB16" i="1"/>
  <c r="DF16" i="1"/>
  <c r="BY17" i="1"/>
  <c r="CO17" i="1"/>
  <c r="DE17" i="1"/>
  <c r="DA26" i="1"/>
  <c r="CJ19" i="1"/>
  <c r="CH19" i="1"/>
  <c r="DE26" i="1"/>
  <c r="CK19" i="1"/>
  <c r="BS19" i="1"/>
  <c r="BP19" i="1"/>
  <c r="BP17" i="1"/>
  <c r="BX17" i="1"/>
  <c r="CF17" i="1"/>
  <c r="CN17" i="1"/>
  <c r="CV17" i="1"/>
  <c r="DD17" i="1"/>
  <c r="BK16" i="1"/>
  <c r="BO16" i="1"/>
  <c r="BS16" i="1"/>
  <c r="BW16" i="1"/>
  <c r="CA16" i="1"/>
  <c r="CE16" i="1"/>
  <c r="CI16" i="1"/>
  <c r="CM16" i="1"/>
  <c r="CQ16" i="1"/>
  <c r="CU16" i="1"/>
  <c r="CY16" i="1"/>
  <c r="BY18" i="1"/>
  <c r="CO18" i="1"/>
  <c r="DE18" i="1"/>
  <c r="BR13" i="1"/>
  <c r="CV13" i="1"/>
  <c r="BL18" i="1"/>
  <c r="BT18" i="1"/>
  <c r="CB18" i="1"/>
  <c r="CJ18" i="1"/>
  <c r="CR18" i="1"/>
  <c r="CZ18" i="1"/>
  <c r="BQ18" i="1"/>
  <c r="CG18" i="1"/>
  <c r="CW18" i="1"/>
  <c r="DB13" i="1"/>
  <c r="BM18" i="1"/>
  <c r="BU18" i="1"/>
  <c r="CC18" i="1"/>
  <c r="CK18" i="1"/>
  <c r="CS18" i="1"/>
  <c r="DA18" i="1"/>
  <c r="BN17" i="1"/>
  <c r="BR17" i="1"/>
  <c r="BV17" i="1"/>
  <c r="BZ17" i="1"/>
  <c r="CD17" i="1"/>
  <c r="CH17" i="1"/>
  <c r="CL17" i="1"/>
  <c r="CP17" i="1"/>
  <c r="CT17" i="1"/>
  <c r="CX17" i="1"/>
  <c r="DB17" i="1"/>
  <c r="DF17" i="1"/>
  <c r="CU13" i="1"/>
  <c r="CJ13" i="1"/>
  <c r="DF11" i="1"/>
  <c r="CY20" i="1"/>
  <c r="CG20" i="1"/>
  <c r="CH8" i="1"/>
  <c r="BU13" i="1"/>
  <c r="CI20" i="1"/>
  <c r="BV20" i="1"/>
  <c r="BP18" i="1"/>
  <c r="BX18" i="1"/>
  <c r="CF18" i="1"/>
  <c r="CN18" i="1"/>
  <c r="CV18" i="1"/>
  <c r="DD18" i="1"/>
  <c r="BK17" i="1"/>
  <c r="BO17" i="1"/>
  <c r="BS17" i="1"/>
  <c r="BW17" i="1"/>
  <c r="CA17" i="1"/>
  <c r="CE17" i="1"/>
  <c r="CI17" i="1"/>
  <c r="CM17" i="1"/>
  <c r="CQ17" i="1"/>
  <c r="CU17" i="1"/>
  <c r="CY17" i="1"/>
  <c r="CM13" i="1"/>
  <c r="CS13" i="1"/>
  <c r="BK13" i="1"/>
  <c r="DF13" i="1"/>
  <c r="CI13" i="1"/>
  <c r="CL13" i="1"/>
  <c r="CF13" i="1"/>
  <c r="BS13" i="1"/>
  <c r="CQ13" i="1"/>
  <c r="BN13" i="1"/>
  <c r="BX13" i="1"/>
  <c r="BO13" i="1"/>
  <c r="BQ13" i="1"/>
  <c r="CR13" i="1"/>
  <c r="BW11" i="1"/>
  <c r="CW11" i="1"/>
  <c r="CZ11" i="1"/>
  <c r="BO11" i="1"/>
  <c r="CH11" i="1"/>
  <c r="CQ11" i="1"/>
  <c r="DB8" i="1"/>
  <c r="BT13" i="1"/>
  <c r="BQ11" i="1"/>
  <c r="BZ13" i="1"/>
  <c r="DE13" i="1"/>
  <c r="CA13" i="1"/>
  <c r="BV13" i="1"/>
  <c r="BP20" i="1"/>
  <c r="CM20" i="1"/>
  <c r="CB20" i="1"/>
  <c r="BK20" i="1"/>
  <c r="BQ20" i="1"/>
  <c r="BY20" i="1"/>
  <c r="CZ20" i="1"/>
  <c r="BM20" i="1"/>
  <c r="DC20" i="1"/>
  <c r="DB20" i="1"/>
  <c r="BH29" i="1"/>
  <c r="BH38" i="1" s="1"/>
  <c r="DC13" i="1"/>
  <c r="CQ20" i="1"/>
  <c r="CO20" i="1"/>
  <c r="CT13" i="1"/>
  <c r="DA13" i="1"/>
  <c r="DE20" i="1"/>
  <c r="CO13" i="1"/>
  <c r="BN18" i="1"/>
  <c r="BR18" i="1"/>
  <c r="BV18" i="1"/>
  <c r="BZ18" i="1"/>
  <c r="CD18" i="1"/>
  <c r="CH18" i="1"/>
  <c r="CL18" i="1"/>
  <c r="CP18" i="1"/>
  <c r="CT18" i="1"/>
  <c r="CX18" i="1"/>
  <c r="DB18" i="1"/>
  <c r="DF18" i="1"/>
  <c r="CR26" i="1"/>
  <c r="CD12" i="1"/>
  <c r="CK12" i="1"/>
  <c r="BZ12" i="1"/>
  <c r="BM12" i="1"/>
  <c r="CX12" i="1"/>
  <c r="BN12" i="1"/>
  <c r="CC12" i="1"/>
  <c r="DF19" i="1"/>
  <c r="DA19" i="1"/>
  <c r="CN19" i="1"/>
  <c r="BS12" i="1"/>
  <c r="BK18" i="1"/>
  <c r="BO18" i="1"/>
  <c r="BS18" i="1"/>
  <c r="BW18" i="1"/>
  <c r="CA18" i="1"/>
  <c r="CE18" i="1"/>
  <c r="CI18" i="1"/>
  <c r="CM18" i="1"/>
  <c r="CQ18" i="1"/>
  <c r="CU18" i="1"/>
  <c r="CY18" i="1"/>
  <c r="CC8" i="1"/>
  <c r="CW8" i="1"/>
  <c r="CV8" i="1"/>
  <c r="BT8" i="1"/>
  <c r="CI8" i="1"/>
  <c r="CJ8" i="1"/>
  <c r="CR8" i="1"/>
  <c r="CZ8" i="1"/>
  <c r="BR8" i="1"/>
  <c r="BZ8" i="1"/>
  <c r="CS8" i="1"/>
  <c r="CX8" i="1"/>
  <c r="CA8" i="1"/>
  <c r="CT8" i="1"/>
  <c r="CJ35" i="1"/>
  <c r="CJ36" i="1" s="1"/>
  <c r="CR35" i="1"/>
  <c r="CR36" i="1" s="1"/>
  <c r="BP35" i="1"/>
  <c r="BP36" i="1" s="1"/>
  <c r="CI19" i="1"/>
  <c r="CM19" i="1"/>
  <c r="CO19" i="1"/>
  <c r="CG19" i="1"/>
  <c r="BO19" i="1"/>
  <c r="DD19" i="1"/>
  <c r="CC19" i="1"/>
  <c r="BU19" i="1"/>
  <c r="BZ19" i="1"/>
  <c r="BR19" i="1"/>
  <c r="BV19" i="1"/>
  <c r="DE19" i="1"/>
  <c r="CS19" i="1"/>
  <c r="CF26" i="1"/>
  <c r="CH26" i="1"/>
  <c r="BV26" i="1"/>
  <c r="CA26" i="1"/>
  <c r="BN26" i="1"/>
  <c r="BX26" i="1"/>
  <c r="BY26" i="1"/>
  <c r="CP26" i="1"/>
  <c r="CY35" i="1"/>
  <c r="CY36" i="1" s="1"/>
  <c r="BK26" i="1"/>
  <c r="CB8" i="1"/>
  <c r="CM35" i="1"/>
  <c r="CM36" i="1" s="1"/>
  <c r="CB26" i="1"/>
  <c r="CB19" i="1"/>
  <c r="CA19" i="1"/>
  <c r="CP19" i="1"/>
  <c r="BY19" i="1"/>
  <c r="CT19" i="1"/>
  <c r="CL19" i="1"/>
  <c r="BK19" i="1"/>
  <c r="BN19" i="1"/>
  <c r="BQ8" i="1"/>
  <c r="DF8" i="1"/>
  <c r="CD8" i="1"/>
  <c r="CD26" i="1"/>
  <c r="BO8" i="1"/>
  <c r="CZ13" i="1"/>
  <c r="BM13" i="1"/>
  <c r="CC13" i="1"/>
  <c r="CN13" i="1"/>
  <c r="CD13" i="1"/>
  <c r="BW13" i="1"/>
  <c r="BY13" i="1"/>
  <c r="CW13" i="1"/>
  <c r="CB13" i="1"/>
  <c r="CE13" i="1"/>
  <c r="BP13" i="1"/>
  <c r="CP13" i="1"/>
  <c r="CG10" i="1"/>
  <c r="CO10" i="1"/>
  <c r="CF10" i="1"/>
  <c r="DD13" i="1"/>
  <c r="CY13" i="1"/>
  <c r="BR26" i="1"/>
  <c r="DD26" i="1"/>
  <c r="CT26" i="1"/>
  <c r="BY35" i="1"/>
  <c r="BY36" i="1" s="1"/>
  <c r="CM26" i="1"/>
  <c r="BQ19" i="1"/>
  <c r="CQ19" i="1"/>
  <c r="BM19" i="1"/>
  <c r="CX19" i="1"/>
  <c r="CF19" i="1"/>
  <c r="DB19" i="1"/>
  <c r="CU19" i="1"/>
  <c r="CF8" i="1"/>
  <c r="BV8" i="1"/>
  <c r="CK13" i="1"/>
  <c r="BL13" i="1"/>
  <c r="CG13" i="1"/>
  <c r="CY19" i="1"/>
  <c r="DE8" i="1"/>
  <c r="CH13" i="1"/>
  <c r="CL8" i="1"/>
  <c r="CL26" i="1"/>
  <c r="CI26" i="1"/>
  <c r="CB11" i="1"/>
  <c r="CR11" i="1"/>
  <c r="BP11" i="1"/>
  <c r="BU11" i="1"/>
  <c r="DF20" i="1"/>
  <c r="BL20" i="1"/>
  <c r="CP20" i="1"/>
  <c r="CT20" i="1"/>
  <c r="CU20" i="1"/>
  <c r="CF20" i="1"/>
  <c r="CH20" i="1"/>
  <c r="DD20" i="1"/>
  <c r="CL20" i="1"/>
  <c r="BS20" i="1"/>
  <c r="CE20" i="1"/>
  <c r="BR20" i="1"/>
  <c r="DA20" i="1"/>
  <c r="CC20" i="1"/>
  <c r="BZ20" i="1"/>
  <c r="CD20" i="1"/>
  <c r="CK20" i="1"/>
  <c r="BX20" i="1"/>
  <c r="BW20" i="1"/>
  <c r="CN26" i="1"/>
  <c r="CJ26" i="1"/>
  <c r="BQ26" i="1"/>
  <c r="CV26" i="1"/>
  <c r="BZ26" i="1"/>
  <c r="CO26" i="1"/>
  <c r="BO26" i="1"/>
  <c r="CE26" i="1"/>
  <c r="CU26" i="1"/>
  <c r="CX26" i="1"/>
  <c r="DF26" i="1"/>
  <c r="CY26" i="1"/>
  <c r="CK26" i="1"/>
  <c r="BP26" i="1"/>
  <c r="CG26" i="1"/>
  <c r="BU26" i="1"/>
  <c r="CQ26" i="1"/>
  <c r="CW26" i="1"/>
  <c r="CS26" i="1"/>
  <c r="BT26" i="1"/>
  <c r="DB26" i="1"/>
  <c r="BU10" i="1"/>
  <c r="BS10" i="1"/>
  <c r="BZ10" i="1"/>
  <c r="CV10" i="1"/>
  <c r="CP10" i="1"/>
  <c r="CA10" i="1"/>
  <c r="CZ10" i="1"/>
  <c r="BT20" i="1"/>
  <c r="CR20" i="1"/>
  <c r="CS20" i="1"/>
  <c r="CJ20" i="1"/>
  <c r="BO20" i="1"/>
  <c r="CV20" i="1"/>
  <c r="CN20" i="1"/>
  <c r="BY10" i="1"/>
  <c r="CA20" i="1"/>
  <c r="CE10" i="1"/>
  <c r="CK10" i="1"/>
  <c r="CT10" i="1"/>
  <c r="BQ12" i="1"/>
  <c r="DA12" i="1"/>
  <c r="CI12" i="1"/>
  <c r="CM12" i="1"/>
  <c r="CP12" i="1"/>
  <c r="CL12" i="1"/>
  <c r="CZ12" i="1"/>
  <c r="CO12" i="1"/>
  <c r="DF12" i="1"/>
  <c r="BR12" i="1"/>
  <c r="DA11" i="1"/>
  <c r="DE11" i="1"/>
  <c r="BQ35" i="1"/>
  <c r="BQ36" i="1" s="1"/>
  <c r="CL35" i="1"/>
  <c r="CL36" i="1" s="1"/>
  <c r="CW35" i="1"/>
  <c r="CW36" i="1" s="1"/>
  <c r="CB35" i="1"/>
  <c r="CB36" i="1" s="1"/>
  <c r="BZ35" i="1"/>
  <c r="BZ36" i="1" s="1"/>
  <c r="CG35" i="1"/>
  <c r="CG36" i="1" s="1"/>
  <c r="BM35" i="1"/>
  <c r="BM36" i="1" s="1"/>
  <c r="BX35" i="1"/>
  <c r="BX36" i="1" s="1"/>
  <c r="CU35" i="1"/>
  <c r="CU36" i="1" s="1"/>
  <c r="CK35" i="1"/>
  <c r="CK36" i="1" s="1"/>
  <c r="DD35" i="1"/>
  <c r="DD36" i="1" s="1"/>
  <c r="BL35" i="1"/>
  <c r="BL36" i="1" s="1"/>
  <c r="DF35" i="1"/>
  <c r="DF36" i="1" s="1"/>
  <c r="DE35" i="1"/>
  <c r="DE36" i="1" s="1"/>
  <c r="DC35" i="1"/>
  <c r="DC36" i="1" s="1"/>
  <c r="DB35" i="1"/>
  <c r="DB36" i="1" s="1"/>
  <c r="BS35" i="1"/>
  <c r="BS36" i="1" s="1"/>
  <c r="CC35" i="1"/>
  <c r="CC36" i="1" s="1"/>
  <c r="BW35" i="1"/>
  <c r="BW36" i="1" s="1"/>
  <c r="CQ35" i="1"/>
  <c r="CQ36" i="1" s="1"/>
  <c r="BV35" i="1"/>
  <c r="BV36" i="1" s="1"/>
  <c r="CX35" i="1"/>
  <c r="CX36" i="1" s="1"/>
  <c r="CP35" i="1"/>
  <c r="CP36" i="1" s="1"/>
  <c r="BT35" i="1"/>
  <c r="BT36" i="1" s="1"/>
  <c r="CN35" i="1"/>
  <c r="CN36" i="1" s="1"/>
  <c r="BN35" i="1"/>
  <c r="BN36" i="1" s="1"/>
  <c r="CO35" i="1"/>
  <c r="CO36" i="1" s="1"/>
  <c r="BO35" i="1"/>
  <c r="BO36" i="1" s="1"/>
  <c r="CA35" i="1"/>
  <c r="CA36" i="1" s="1"/>
  <c r="CI35" i="1"/>
  <c r="CI36" i="1" s="1"/>
  <c r="CS35" i="1"/>
  <c r="CS36" i="1" s="1"/>
  <c r="CZ35" i="1"/>
  <c r="CZ36" i="1" s="1"/>
  <c r="CF35" i="1"/>
  <c r="CF36" i="1" s="1"/>
  <c r="DA35" i="1"/>
  <c r="DA36" i="1" s="1"/>
  <c r="BU35" i="1"/>
  <c r="BU36" i="1" s="1"/>
  <c r="CD35" i="1"/>
  <c r="CD36" i="1" s="1"/>
  <c r="BK35" i="1"/>
  <c r="CE35" i="1"/>
  <c r="CE36" i="1" s="1"/>
  <c r="CT35" i="1"/>
  <c r="CT36" i="1" s="1"/>
  <c r="CV35" i="1"/>
  <c r="CV36" i="1" s="1"/>
  <c r="BU20" i="1"/>
  <c r="BR11" i="1"/>
  <c r="CC11" i="1"/>
  <c r="CX11" i="1"/>
  <c r="CV11" i="1"/>
  <c r="BT11" i="1"/>
  <c r="CE11" i="1"/>
  <c r="CJ11" i="1"/>
  <c r="BS11" i="1"/>
  <c r="BL11" i="1"/>
  <c r="BZ11" i="1"/>
  <c r="CP11" i="1"/>
  <c r="CT11" i="1"/>
  <c r="DB11" i="1"/>
  <c r="BN11" i="1"/>
  <c r="DD11" i="1"/>
  <c r="CL11" i="1"/>
  <c r="BK11" i="1"/>
  <c r="CF11" i="1"/>
  <c r="BM11" i="1"/>
  <c r="BV11" i="1"/>
  <c r="CY11" i="1"/>
  <c r="BX11" i="1"/>
  <c r="CI11" i="1"/>
  <c r="CA11" i="1"/>
  <c r="CN11" i="1"/>
  <c r="CG11" i="1"/>
  <c r="CK11" i="1"/>
  <c r="BY11" i="1"/>
  <c r="CO11" i="1"/>
  <c r="CM11" i="1"/>
  <c r="CD11" i="1"/>
  <c r="CU11" i="1"/>
  <c r="BN10" i="1"/>
  <c r="BK10" i="1"/>
  <c r="BO10" i="1"/>
  <c r="DD10" i="1"/>
  <c r="BX10" i="1"/>
  <c r="CI10" i="1"/>
  <c r="CU10" i="1"/>
  <c r="CB10" i="1"/>
  <c r="BQ10" i="1"/>
  <c r="CC10" i="1"/>
  <c r="BR10" i="1"/>
  <c r="BM10" i="1"/>
  <c r="CS10" i="1"/>
  <c r="CH10" i="1"/>
  <c r="BP10" i="1"/>
  <c r="CQ10" i="1"/>
  <c r="DC10" i="1"/>
  <c r="CW10" i="1"/>
  <c r="CY10" i="1"/>
  <c r="DB10" i="1"/>
  <c r="BL10" i="1"/>
  <c r="DF10" i="1"/>
  <c r="CJ10" i="1"/>
  <c r="CN10" i="1"/>
  <c r="CD10" i="1"/>
  <c r="CX10" i="1"/>
  <c r="DE10" i="1"/>
  <c r="DA10" i="1"/>
  <c r="BW10" i="1"/>
  <c r="BV10" i="1"/>
  <c r="CL10" i="1"/>
  <c r="CR10" i="1"/>
  <c r="BT10" i="1"/>
  <c r="CM10" i="1"/>
  <c r="CV19" i="1"/>
  <c r="CD19" i="1"/>
  <c r="CG8" i="1"/>
  <c r="BL8" i="1"/>
  <c r="CO8" i="1"/>
  <c r="CN8" i="1"/>
  <c r="BP8" i="1"/>
  <c r="CY8" i="1"/>
  <c r="CE8" i="1"/>
  <c r="DA8" i="1"/>
  <c r="BN8" i="1"/>
  <c r="CM8" i="1"/>
  <c r="BY8" i="1"/>
  <c r="BU8" i="1"/>
  <c r="BX8" i="1"/>
  <c r="CK8" i="1"/>
  <c r="BK8" i="1"/>
  <c r="DD8" i="1"/>
  <c r="BM8" i="1"/>
  <c r="CQ8" i="1"/>
  <c r="CU8" i="1"/>
  <c r="DC8" i="1"/>
  <c r="BW8" i="1"/>
  <c r="A1" i="4"/>
  <c r="AD7" i="10" l="1"/>
  <c r="AE7" i="10" s="1"/>
  <c r="P16" i="10"/>
  <c r="DG24" i="1"/>
  <c r="DG21" i="1"/>
  <c r="P9" i="10"/>
  <c r="DG9" i="1"/>
  <c r="AE13" i="10"/>
  <c r="AD16" i="10"/>
  <c r="AE16" i="10" s="1"/>
  <c r="DG25" i="1"/>
  <c r="BJ3" i="1"/>
  <c r="U9" i="10"/>
  <c r="AE6" i="10"/>
  <c r="AD9" i="10"/>
  <c r="AE9" i="10" s="1"/>
  <c r="DG32" i="1"/>
  <c r="DG33" i="1"/>
  <c r="DG34" i="1"/>
  <c r="DG31" i="1"/>
  <c r="DG14" i="1"/>
  <c r="DG15" i="1"/>
  <c r="DG16" i="1"/>
  <c r="CA29" i="1"/>
  <c r="CA38" i="1" s="1"/>
  <c r="CW29" i="1"/>
  <c r="CW38" i="1" s="1"/>
  <c r="CJ29" i="1"/>
  <c r="CJ38" i="1" s="1"/>
  <c r="DG17" i="1"/>
  <c r="DG13" i="1"/>
  <c r="CC29" i="1"/>
  <c r="CC38" i="1" s="1"/>
  <c r="CZ29" i="1"/>
  <c r="CZ38" i="1" s="1"/>
  <c r="CO29" i="1"/>
  <c r="CO38" i="1" s="1"/>
  <c r="CT29" i="1"/>
  <c r="CT38" i="1" s="1"/>
  <c r="DG20" i="1"/>
  <c r="DF29" i="1"/>
  <c r="DF38" i="1" s="1"/>
  <c r="BZ29" i="1"/>
  <c r="BZ38" i="1" s="1"/>
  <c r="DG18" i="1"/>
  <c r="DB29" i="1"/>
  <c r="DB38" i="1" s="1"/>
  <c r="CL29" i="1"/>
  <c r="CL38" i="1" s="1"/>
  <c r="CV29" i="1"/>
  <c r="CV38" i="1" s="1"/>
  <c r="DG12" i="1"/>
  <c r="BS29" i="1"/>
  <c r="BS38" i="1" s="1"/>
  <c r="BV29" i="1"/>
  <c r="BV38" i="1" s="1"/>
  <c r="CQ29" i="1"/>
  <c r="CQ38" i="1" s="1"/>
  <c r="DE29" i="1"/>
  <c r="DE38" i="1" s="1"/>
  <c r="BP29" i="1"/>
  <c r="BP38" i="1" s="1"/>
  <c r="BQ29" i="1"/>
  <c r="BQ38" i="1" s="1"/>
  <c r="CB29" i="1"/>
  <c r="CB38" i="1" s="1"/>
  <c r="CX29" i="1"/>
  <c r="CX38" i="1" s="1"/>
  <c r="CH29" i="1"/>
  <c r="CH38" i="1" s="1"/>
  <c r="CF29" i="1"/>
  <c r="CF38" i="1" s="1"/>
  <c r="DG26" i="1"/>
  <c r="DD29" i="1"/>
  <c r="DD38" i="1" s="1"/>
  <c r="BU29" i="1"/>
  <c r="BU38" i="1" s="1"/>
  <c r="DG19" i="1"/>
  <c r="BT29" i="1"/>
  <c r="BT38" i="1" s="1"/>
  <c r="CU29" i="1"/>
  <c r="CU38" i="1" s="1"/>
  <c r="BY29" i="1"/>
  <c r="BY38" i="1" s="1"/>
  <c r="CE29" i="1"/>
  <c r="CE38" i="1" s="1"/>
  <c r="CP29" i="1"/>
  <c r="CP38" i="1" s="1"/>
  <c r="CS29" i="1"/>
  <c r="CS38" i="1" s="1"/>
  <c r="CD29" i="1"/>
  <c r="CD38" i="1" s="1"/>
  <c r="BW29" i="1"/>
  <c r="BW38" i="1" s="1"/>
  <c r="BM29" i="1"/>
  <c r="BM38" i="1" s="1"/>
  <c r="BX29" i="1"/>
  <c r="BX38" i="1" s="1"/>
  <c r="BN29" i="1"/>
  <c r="BN38" i="1" s="1"/>
  <c r="CG29" i="1"/>
  <c r="CG38" i="1" s="1"/>
  <c r="BR29" i="1"/>
  <c r="BR38" i="1" s="1"/>
  <c r="BO29" i="1"/>
  <c r="BO38" i="1" s="1"/>
  <c r="BK36" i="1"/>
  <c r="DG35" i="1"/>
  <c r="DG36" i="1" s="1"/>
  <c r="CI29" i="1"/>
  <c r="CI38" i="1" s="1"/>
  <c r="CK29" i="1"/>
  <c r="CK38" i="1" s="1"/>
  <c r="DG11" i="1"/>
  <c r="CY29" i="1"/>
  <c r="CY38" i="1" s="1"/>
  <c r="BL29" i="1"/>
  <c r="BL38" i="1" s="1"/>
  <c r="DG10" i="1"/>
  <c r="DC29" i="1"/>
  <c r="DC38" i="1" s="1"/>
  <c r="DA29" i="1"/>
  <c r="DA38" i="1" s="1"/>
  <c r="CN29" i="1"/>
  <c r="CN38" i="1" s="1"/>
  <c r="CR29" i="1"/>
  <c r="CR38" i="1" s="1"/>
  <c r="CM29" i="1"/>
  <c r="CM38" i="1" s="1"/>
  <c r="DG8" i="1"/>
  <c r="BK29" i="1"/>
  <c r="BK38" i="1" l="1"/>
  <c r="DG29" i="1"/>
  <c r="DG38" i="1" s="1"/>
  <c r="J40" i="1" s="1"/>
  <c r="J53" i="1" s="1"/>
  <c r="J45" i="1" l="1"/>
  <c r="J49" i="1"/>
  <c r="J56" i="1" l="1"/>
  <c r="C9" i="3" s="1"/>
  <c r="D9" i="3" s="1"/>
  <c r="H9" i="3" l="1"/>
  <c r="H3" i="3" s="1"/>
  <c r="H16" i="3" s="1"/>
  <c r="I16" i="3" s="1"/>
  <c r="M9" i="3"/>
  <c r="C3" i="3"/>
  <c r="H10" i="3" l="1"/>
  <c r="I10" i="3" s="1"/>
  <c r="H15" i="3"/>
  <c r="I15" i="3" s="1"/>
  <c r="H11" i="3"/>
  <c r="I11" i="3" s="1"/>
  <c r="H8" i="3"/>
  <c r="I8" i="3" s="1"/>
  <c r="H6" i="3"/>
  <c r="I6" i="3" s="1"/>
  <c r="I9" i="3"/>
  <c r="H13" i="3"/>
  <c r="I13" i="3" s="1"/>
  <c r="H7" i="3"/>
  <c r="I7" i="3" s="1"/>
  <c r="C16" i="3"/>
  <c r="D16" i="3" s="1"/>
  <c r="C10" i="3"/>
  <c r="D10" i="3" s="1"/>
  <c r="C11" i="3"/>
  <c r="D11" i="3" s="1"/>
  <c r="C13" i="3"/>
  <c r="D13" i="3" s="1"/>
  <c r="C15" i="3"/>
  <c r="D15" i="3" s="1"/>
  <c r="C6" i="3"/>
  <c r="C8" i="3"/>
  <c r="D8" i="3" s="1"/>
  <c r="C12" i="3"/>
  <c r="O9" i="3"/>
  <c r="C8" i="14"/>
  <c r="N9" i="3"/>
  <c r="D8" i="14" s="1"/>
  <c r="F8" i="14" s="1"/>
  <c r="M3" i="3"/>
  <c r="H17" i="3" l="1"/>
  <c r="I17" i="3"/>
  <c r="M8" i="3"/>
  <c r="M13" i="3"/>
  <c r="M6" i="3"/>
  <c r="M16" i="3"/>
  <c r="N16" i="3" s="1"/>
  <c r="M15" i="3"/>
  <c r="M10" i="3"/>
  <c r="M7" i="3"/>
  <c r="N7" i="3" s="1"/>
  <c r="M11" i="3"/>
  <c r="D6" i="3"/>
  <c r="D17" i="3" s="1"/>
  <c r="C17" i="3"/>
  <c r="C10" i="14" l="1"/>
  <c r="N11" i="3"/>
  <c r="O13" i="3"/>
  <c r="M17" i="3"/>
  <c r="E17" i="9" s="1"/>
  <c r="C6" i="14"/>
  <c r="N6" i="3"/>
  <c r="O8" i="3"/>
  <c r="N10" i="3"/>
  <c r="C9" i="14"/>
  <c r="C12" i="14"/>
  <c r="N13" i="3"/>
  <c r="D12" i="14" s="1"/>
  <c r="F12" i="14" s="1"/>
  <c r="C13" i="14"/>
  <c r="O16" i="3"/>
  <c r="N15" i="3"/>
  <c r="C7" i="14"/>
  <c r="N8" i="3"/>
  <c r="D7" i="14" s="1"/>
  <c r="F7" i="14" s="1"/>
  <c r="D9" i="14" l="1"/>
  <c r="F9" i="14" s="1"/>
  <c r="P10" i="3"/>
  <c r="P16" i="3"/>
  <c r="D13" i="14"/>
  <c r="F13" i="14" s="1"/>
  <c r="N17" i="3"/>
  <c r="P8" i="3"/>
  <c r="D6" i="14"/>
  <c r="F6" i="14" s="1"/>
  <c r="P13" i="3"/>
  <c r="D10" i="14"/>
  <c r="F10" i="14" s="1"/>
  <c r="P17" i="3" l="1"/>
  <c r="R16" i="3" s="1"/>
  <c r="R13" i="3" l="1"/>
  <c r="R9" i="3"/>
  <c r="R8" i="3"/>
</calcChain>
</file>

<file path=xl/comments1.xml><?xml version="1.0" encoding="utf-8"?>
<comments xmlns="http://schemas.openxmlformats.org/spreadsheetml/2006/main">
  <authors>
    <author>EDS e.Solutions</author>
    <author>Administrador</author>
  </authors>
  <commentList>
    <comment ref="K5" authorId="0" shapeId="0">
      <text>
        <r>
          <rPr>
            <b/>
            <sz val="8"/>
            <color indexed="81"/>
            <rFont val="Tahoma"/>
            <family val="2"/>
          </rPr>
          <t>EDS e.Solutions:</t>
        </r>
        <r>
          <rPr>
            <sz val="8"/>
            <color indexed="81"/>
            <rFont val="Tahoma"/>
            <family val="2"/>
          </rPr>
          <t xml:space="preserve">
N: New
C: Change
R: Repetitive</t>
        </r>
      </text>
    </comment>
    <comment ref="A38" authorId="1" shapeId="0">
      <text>
        <r>
          <rPr>
            <b/>
            <sz val="8"/>
            <color indexed="81"/>
            <rFont val="Tahoma"/>
            <family val="2"/>
          </rPr>
          <t>EDS e.Solutions:</t>
        </r>
        <r>
          <rPr>
            <sz val="8"/>
            <color indexed="81"/>
            <rFont val="Tahoma"/>
            <family val="2"/>
          </rPr>
          <t xml:space="preserve">
make sure to adjust the total to include each functional area.</t>
        </r>
      </text>
    </comment>
  </commentList>
</comments>
</file>

<file path=xl/comments2.xml><?xml version="1.0" encoding="utf-8"?>
<comments xmlns="http://schemas.openxmlformats.org/spreadsheetml/2006/main">
  <authors>
    <author>nztxkx</author>
  </authors>
  <commentList>
    <comment ref="A15" authorId="0" shapeId="0">
      <text>
        <r>
          <rPr>
            <b/>
            <sz val="8"/>
            <color indexed="81"/>
            <rFont val="Tahoma"/>
            <family val="2"/>
          </rPr>
          <t>nztxkx:</t>
        </r>
        <r>
          <rPr>
            <sz val="8"/>
            <color indexed="81"/>
            <rFont val="Tahoma"/>
            <family val="2"/>
          </rPr>
          <t xml:space="preserve">
Includes Program Managers time</t>
        </r>
      </text>
    </comment>
    <comment ref="F15" authorId="0" shapeId="0">
      <text>
        <r>
          <rPr>
            <b/>
            <sz val="8"/>
            <color indexed="81"/>
            <rFont val="Tahoma"/>
            <family val="2"/>
          </rPr>
          <t>nztxkx:</t>
        </r>
        <r>
          <rPr>
            <sz val="8"/>
            <color indexed="81"/>
            <rFont val="Tahoma"/>
            <family val="2"/>
          </rPr>
          <t xml:space="preserve">
Includes Program Managers time</t>
        </r>
      </text>
    </comment>
    <comment ref="K15" authorId="0" shapeId="0">
      <text>
        <r>
          <rPr>
            <b/>
            <sz val="8"/>
            <color indexed="81"/>
            <rFont val="Tahoma"/>
            <family val="2"/>
          </rPr>
          <t>nztxkx:</t>
        </r>
        <r>
          <rPr>
            <sz val="8"/>
            <color indexed="81"/>
            <rFont val="Tahoma"/>
            <family val="2"/>
          </rPr>
          <t xml:space="preserve">
Includes Program Managers time</t>
        </r>
      </text>
    </comment>
  </commentList>
</comments>
</file>

<file path=xl/sharedStrings.xml><?xml version="1.0" encoding="utf-8"?>
<sst xmlns="http://schemas.openxmlformats.org/spreadsheetml/2006/main" count="551" uniqueCount="313">
  <si>
    <t>Low</t>
  </si>
  <si>
    <t>Medium</t>
  </si>
  <si>
    <t>High</t>
  </si>
  <si>
    <t>Effort Matrix</t>
  </si>
  <si>
    <t>Component Count</t>
  </si>
  <si>
    <t>Easy</t>
  </si>
  <si>
    <t>XML</t>
  </si>
  <si>
    <t>New</t>
  </si>
  <si>
    <t>Change</t>
  </si>
  <si>
    <t>Rep</t>
  </si>
  <si>
    <t>Analysis</t>
  </si>
  <si>
    <t>Construction &amp; Unit Testing</t>
  </si>
  <si>
    <t>Implementation</t>
  </si>
  <si>
    <t>SLC PHASE</t>
  </si>
  <si>
    <t>PCT</t>
  </si>
  <si>
    <t>HOURS</t>
  </si>
  <si>
    <t>Factor</t>
  </si>
  <si>
    <t>Hours/month</t>
  </si>
  <si>
    <t xml:space="preserve">Design </t>
  </si>
  <si>
    <t>TOTAL</t>
  </si>
  <si>
    <t>FTE</t>
  </si>
  <si>
    <t>Project Management</t>
  </si>
  <si>
    <t>Training/CM/Travel</t>
  </si>
  <si>
    <t>Total Hours based on Produce Percent</t>
  </si>
  <si>
    <t>Legend</t>
  </si>
  <si>
    <t>Enterable fields</t>
  </si>
  <si>
    <t>Metrics</t>
  </si>
  <si>
    <t>SLC / Position Ties</t>
  </si>
  <si>
    <t>Name</t>
  </si>
  <si>
    <t>Factors</t>
  </si>
  <si>
    <t>Change as % of New</t>
  </si>
  <si>
    <t>Type</t>
  </si>
  <si>
    <t>N</t>
  </si>
  <si>
    <t>C</t>
  </si>
  <si>
    <t>R</t>
  </si>
  <si>
    <t>New Factor</t>
  </si>
  <si>
    <t>Total</t>
  </si>
  <si>
    <t>Effort Hours</t>
  </si>
  <si>
    <t>Component Totals</t>
  </si>
  <si>
    <t>description of requirement 1</t>
  </si>
  <si>
    <t>&lt;functional area 2&gt;</t>
  </si>
  <si>
    <t>total &lt;functional area 2&gt;</t>
  </si>
  <si>
    <t>Instructions:</t>
  </si>
  <si>
    <t>Base Effort Level</t>
  </si>
  <si>
    <t>Historical Percentages</t>
  </si>
  <si>
    <t>Adjusted Calculations</t>
  </si>
  <si>
    <t>Analysis &amp; Design</t>
  </si>
  <si>
    <t>Produce</t>
  </si>
  <si>
    <t>Test &amp; Implement</t>
  </si>
  <si>
    <r>
      <t>Assumptions and Comments:</t>
    </r>
    <r>
      <rPr>
        <sz val="10"/>
        <rFont val="Arial"/>
        <family val="2"/>
      </rPr>
      <t xml:space="preserve">  </t>
    </r>
  </si>
  <si>
    <t>Repetition as % of New</t>
  </si>
  <si>
    <t>Phase</t>
  </si>
  <si>
    <t>Pcts</t>
  </si>
  <si>
    <t>Check Point</t>
  </si>
  <si>
    <t>Testing Coordinator
Tester
Implementation Coordinator
Developer</t>
  </si>
  <si>
    <t>EDS Program Executive
EDS Program Manager
EDS Project Team Leader
PCO
CM Administration</t>
  </si>
  <si>
    <t>Implementation Coordinator
Developer</t>
  </si>
  <si>
    <t>Typical Roles Involved in Phase</t>
  </si>
  <si>
    <t>Application SME
Technical Lead
Senior Architect
Architect
Function Point Counter</t>
  </si>
  <si>
    <t>Application SME
Technical Lead
Senior Architect
Architect
Object Modeler
Data Modeler
Testing Coordinator</t>
  </si>
  <si>
    <t>Hours from Magnitude</t>
  </si>
  <si>
    <t>FTEs from Magnitude</t>
  </si>
  <si>
    <t>Developer
DBA
Tester</t>
  </si>
  <si>
    <t>Duration of phase (in months)</t>
  </si>
  <si>
    <t>Rough Staff needed for phase</t>
  </si>
  <si>
    <t>Project Duration</t>
  </si>
  <si>
    <t>Enter Project Name here:
(it gets carried over to other cells)</t>
  </si>
  <si>
    <t>COM+</t>
  </si>
  <si>
    <t>ASP.Net</t>
  </si>
  <si>
    <t>Stored Procedure</t>
  </si>
  <si>
    <t>Tabela DB</t>
  </si>
  <si>
    <t>Windows Form</t>
  </si>
  <si>
    <t>Entity</t>
  </si>
  <si>
    <t>Data Service</t>
  </si>
  <si>
    <t>Business Service</t>
  </si>
  <si>
    <t>Crystal</t>
  </si>
  <si>
    <t>Reporting Services</t>
  </si>
  <si>
    <t>VB 6.0</t>
  </si>
  <si>
    <t>Windows Service</t>
  </si>
  <si>
    <t>Web Service</t>
  </si>
  <si>
    <t>Script</t>
  </si>
  <si>
    <t>VBScript</t>
  </si>
  <si>
    <t>JavaScript</t>
  </si>
  <si>
    <t>StyleSheet</t>
  </si>
  <si>
    <t>NUnit</t>
  </si>
  <si>
    <t>Web Part</t>
  </si>
  <si>
    <t>Custom Control</t>
  </si>
  <si>
    <t>Config / Property File</t>
  </si>
  <si>
    <t>Data</t>
  </si>
  <si>
    <t>Report</t>
  </si>
  <si>
    <t>XSL</t>
  </si>
  <si>
    <t>easy</t>
  </si>
  <si>
    <t>low</t>
  </si>
  <si>
    <t>medium</t>
  </si>
  <si>
    <t>high</t>
  </si>
  <si>
    <t>custom controls</t>
  </si>
  <si>
    <t>HRS</t>
  </si>
  <si>
    <t>views</t>
  </si>
  <si>
    <t>entities</t>
  </si>
  <si>
    <t>fields</t>
  </si>
  <si>
    <t>rich components</t>
  </si>
  <si>
    <t>functions</t>
  </si>
  <si>
    <t>qtt Entites</t>
  </si>
  <si>
    <t>Code (Business)</t>
  </si>
  <si>
    <t>Code (Data)</t>
  </si>
  <si>
    <t>Code (Batch)</t>
  </si>
  <si>
    <t>Code (Generic)</t>
  </si>
  <si>
    <t>Presentation</t>
  </si>
  <si>
    <t>Security Enhancements</t>
  </si>
  <si>
    <t>External connections</t>
  </si>
  <si>
    <t>functions (Insert, update, delete)</t>
  </si>
  <si>
    <t>Remoting</t>
  </si>
  <si>
    <t>XML/XSD</t>
  </si>
  <si>
    <t>tab strip/treeview</t>
  </si>
  <si>
    <t>Channels/formatters</t>
  </si>
  <si>
    <t>Server/Client Objects (Server and Client activation)</t>
  </si>
  <si>
    <t>Fields</t>
  </si>
  <si>
    <t>I/O (File System, TCP, http etc)</t>
  </si>
  <si>
    <t>Functions</t>
  </si>
  <si>
    <t>Security</t>
  </si>
  <si>
    <t>Entities</t>
  </si>
  <si>
    <t>Graphic/Process operations</t>
  </si>
  <si>
    <t>UC steps/Business Rules</t>
  </si>
  <si>
    <t>Attributes</t>
  </si>
  <si>
    <t>Windows forms Print Objects Reports</t>
  </si>
  <si>
    <t>Grids/Lists</t>
  </si>
  <si>
    <t>Code (entity)</t>
  </si>
  <si>
    <t>Code (business)</t>
  </si>
  <si>
    <t>Code (data)</t>
  </si>
  <si>
    <t>Code (batch)</t>
  </si>
  <si>
    <t>Criteria</t>
  </si>
  <si>
    <t>QTT</t>
  </si>
  <si>
    <t>Components of Basic Operations (CRUD)</t>
  </si>
  <si>
    <t>Fields (Objects)</t>
  </si>
  <si>
    <t>Rich components</t>
  </si>
  <si>
    <t>Database Objects</t>
  </si>
  <si>
    <t>Complex Operations (Calculation, Graphs, I/O etc)</t>
  </si>
  <si>
    <t>WEB/ASP</t>
  </si>
  <si>
    <t>Other Web</t>
  </si>
  <si>
    <t>Hierarchy levels</t>
  </si>
  <si>
    <t>Graphs</t>
  </si>
  <si>
    <t>Qtt. tables</t>
  </si>
  <si>
    <t>Qtt. fields</t>
  </si>
  <si>
    <t>Other Windows</t>
  </si>
  <si>
    <t>Version</t>
  </si>
  <si>
    <t>Date</t>
  </si>
  <si>
    <t>Description</t>
  </si>
  <si>
    <t>1.0</t>
  </si>
  <si>
    <t>Sub Total</t>
  </si>
  <si>
    <r>
      <t xml:space="preserve"> </t>
    </r>
    <r>
      <rPr>
        <b/>
        <sz val="9"/>
        <rFont val="Arial"/>
        <family val="2"/>
      </rPr>
      <t>OTHER ADJUSTMENT FACTORS</t>
    </r>
  </si>
  <si>
    <t xml:space="preserve">   1. Experience level on technology</t>
  </si>
  <si>
    <t>=</t>
  </si>
  <si>
    <t xml:space="preserve">   2. Experience level on Application</t>
  </si>
  <si>
    <t xml:space="preserve">   3. Type of Risk                                   </t>
  </si>
  <si>
    <t>System Documentation</t>
  </si>
  <si>
    <t>Integration / System Testing</t>
  </si>
  <si>
    <t>User Acceptance Support</t>
  </si>
  <si>
    <t>Integration/ System Testing</t>
  </si>
  <si>
    <t>Planilha de Estimativas (Tabelas para Cálculos)</t>
  </si>
  <si>
    <t>#</t>
  </si>
  <si>
    <t>Worktype</t>
  </si>
  <si>
    <t>Experiência</t>
  </si>
  <si>
    <t>Fator</t>
  </si>
  <si>
    <t>Conhecimento</t>
  </si>
  <si>
    <t>de</t>
  </si>
  <si>
    <t>Complexidade</t>
  </si>
  <si>
    <t>Ajuste</t>
  </si>
  <si>
    <t>Muito</t>
  </si>
  <si>
    <t>Algum</t>
  </si>
  <si>
    <t>Nenhum</t>
  </si>
  <si>
    <t>Vinicius Borges</t>
  </si>
  <si>
    <t>one time</t>
  </si>
  <si>
    <t>On Going</t>
  </si>
  <si>
    <t>seat</t>
  </si>
  <si>
    <t>development</t>
  </si>
  <si>
    <t>ITL</t>
  </si>
  <si>
    <t>pre-production</t>
  </si>
  <si>
    <t>production</t>
  </si>
  <si>
    <t>Vendor</t>
  </si>
  <si>
    <t>Function</t>
  </si>
  <si>
    <t>price per unit</t>
  </si>
  <si>
    <t>unit</t>
  </si>
  <si>
    <t>qty</t>
  </si>
  <si>
    <t>total</t>
  </si>
  <si>
    <t>total one time</t>
  </si>
  <si>
    <t>total on going
(annual)</t>
  </si>
  <si>
    <t>total on going
(monthly)</t>
  </si>
  <si>
    <t>&lt;Function&gt;</t>
  </si>
  <si>
    <t>Software piece</t>
  </si>
  <si>
    <t>vendor name</t>
  </si>
  <si>
    <t>per seat</t>
  </si>
  <si>
    <t>per year</t>
  </si>
  <si>
    <t>per 1st 2 cpu</t>
  </si>
  <si>
    <t>Hosting 
(estimated: subject to qualification/engineering)</t>
  </si>
  <si>
    <t>EDS GWH Engineering</t>
  </si>
  <si>
    <t>EDS</t>
  </si>
  <si>
    <t>Hosting</t>
  </si>
  <si>
    <t>per hour</t>
  </si>
  <si>
    <t>EDS GWH Project Mangement
(25% of Engineering time)</t>
  </si>
  <si>
    <t>Hosting Environment</t>
  </si>
  <si>
    <t>Initial Version</t>
  </si>
  <si>
    <r>
      <t xml:space="preserve">PRODUCE </t>
    </r>
    <r>
      <rPr>
        <b/>
        <sz val="8"/>
        <color indexed="10"/>
        <rFont val="Arial"/>
        <family val="2"/>
      </rPr>
      <t>TOTAL</t>
    </r>
  </si>
  <si>
    <t>Total   (hours)</t>
  </si>
  <si>
    <t>Definition &amp; Analysis</t>
  </si>
  <si>
    <t>2.0</t>
  </si>
  <si>
    <t>Alexandre Antunes</t>
  </si>
  <si>
    <t>Correção da fórmula de cálculo do total de horas das linhas 10-22 e alinhamento das linhas de descrição de requerimentos 8-22 e 25, na aba Produce</t>
  </si>
  <si>
    <t>3.0</t>
  </si>
  <si>
    <t>Correção da fórmula de cálculo do total componentes das linhas 10-22</t>
  </si>
  <si>
    <t>total "Melhorias identificadas para expansão da ferramenta"</t>
  </si>
  <si>
    <t>Task Name</t>
  </si>
  <si>
    <t>Elaborar estimativa grau Z</t>
  </si>
  <si>
    <t>PROJETO COMPLETO</t>
  </si>
  <si>
    <t>Fase do Ciclo de Vida</t>
  </si>
  <si>
    <t>% Distribuição</t>
  </si>
  <si>
    <t xml:space="preserve">Gestão </t>
  </si>
  <si>
    <t>Análise</t>
  </si>
  <si>
    <t xml:space="preserve">Desenho Físico </t>
  </si>
  <si>
    <t>Desenvolvimento/Testes</t>
  </si>
  <si>
    <t>Ambientes ATU/ATS-S/ATS-M</t>
  </si>
  <si>
    <t>100.00%</t>
  </si>
  <si>
    <t>Escopo e Estimativa</t>
  </si>
  <si>
    <t>Desenho Físico</t>
  </si>
  <si>
    <t>Construção</t>
  </si>
  <si>
    <t>Teste</t>
  </si>
  <si>
    <t>Implantação</t>
  </si>
  <si>
    <t>Sim</t>
  </si>
  <si>
    <t>Não</t>
  </si>
  <si>
    <t>DRS</t>
  </si>
  <si>
    <t>PROT</t>
  </si>
  <si>
    <t>DAP</t>
  </si>
  <si>
    <t>RTF</t>
  </si>
  <si>
    <t>MLD</t>
  </si>
  <si>
    <t>MAL</t>
  </si>
  <si>
    <t>MFD</t>
  </si>
  <si>
    <t>DFIS</t>
  </si>
  <si>
    <t>RTI</t>
  </si>
  <si>
    <t>Código</t>
  </si>
  <si>
    <t>RTU</t>
  </si>
  <si>
    <t>Testes</t>
  </si>
  <si>
    <t>VIS</t>
  </si>
  <si>
    <t>Sigla</t>
  </si>
  <si>
    <t>Artefatos / Entregáveis</t>
  </si>
  <si>
    <t>DEP</t>
  </si>
  <si>
    <t>Direcionamento da Arquitetura</t>
  </si>
  <si>
    <t>Documento de Requisito do Sistema</t>
  </si>
  <si>
    <t>Roteiro de Testes Funcionais</t>
  </si>
  <si>
    <t>Protótipo de Interface Visual</t>
  </si>
  <si>
    <t>Modelo Lógico de Dados</t>
  </si>
  <si>
    <t>Prot Projeto</t>
  </si>
  <si>
    <t>PPROJ</t>
  </si>
  <si>
    <t>Documento de Visão do Sistema</t>
  </si>
  <si>
    <t>Modelo de Design</t>
  </si>
  <si>
    <t>Roteiro de Testes Integrados</t>
  </si>
  <si>
    <t>Modelo Físico de Dados</t>
  </si>
  <si>
    <t>Integração</t>
  </si>
  <si>
    <t>Funcionais</t>
  </si>
  <si>
    <t>Homologação</t>
  </si>
  <si>
    <t>Acompanhar Implantação</t>
  </si>
  <si>
    <t>Identificador da Solicitação:</t>
  </si>
  <si>
    <t>Data da Solicitação:</t>
  </si>
  <si>
    <t>Nome da Demanda:</t>
  </si>
  <si>
    <t>Estivatva do cliente - Grau W:</t>
  </si>
  <si>
    <t xml:space="preserve"> ---</t>
  </si>
  <si>
    <t>Mapa de Acesso Lógico</t>
  </si>
  <si>
    <t>Roteiro de Teste Unitário</t>
  </si>
  <si>
    <t>MDS - OUTPUTS</t>
  </si>
  <si>
    <t>Label</t>
  </si>
  <si>
    <t/>
  </si>
  <si>
    <t>Demanda Estimativa e Planejamento</t>
  </si>
  <si>
    <t>SLC PHASE (HP)</t>
  </si>
  <si>
    <t>MDS PHASE (IBBA)</t>
  </si>
  <si>
    <t>4.0</t>
  </si>
  <si>
    <t>Pablo Andrei Silva</t>
  </si>
  <si>
    <t>Adquação ao cliente IBBA</t>
  </si>
  <si>
    <t>% Calculated</t>
  </si>
  <si>
    <t>Code (Entity)</t>
  </si>
  <si>
    <t>GRAU W IBBA - HISTORICO</t>
  </si>
  <si>
    <t>description of requirement 2</t>
  </si>
  <si>
    <t>&lt;functional area 1&gt;</t>
  </si>
  <si>
    <t>Requeriment</t>
  </si>
  <si>
    <t>Justification</t>
  </si>
  <si>
    <t>W (-50%, +100%)</t>
  </si>
  <si>
    <t>Z (-25%, +50%)</t>
  </si>
  <si>
    <t>A (-10%, +10%)</t>
  </si>
  <si>
    <t>Perspectiva:</t>
  </si>
  <si>
    <t>Estimativa HP foi de:</t>
  </si>
  <si>
    <t>Avaliar entendimento documentação</t>
  </si>
  <si>
    <t>Avaliar documentação</t>
  </si>
  <si>
    <t>Elaborar estimativa Grau A</t>
  </si>
  <si>
    <t>Atualizar matriz de rastreabilidade</t>
  </si>
  <si>
    <t>Integrar manutenções na stream de release</t>
  </si>
  <si>
    <t>Preparar build e instalar em ambiente ATU</t>
  </si>
  <si>
    <t>Executar RTI de componentes</t>
  </si>
  <si>
    <t>Suportar testes em ambiente ATS</t>
  </si>
  <si>
    <t>Executar RTU</t>
  </si>
  <si>
    <t>Executar Testes de Integração</t>
  </si>
  <si>
    <t>Executar Testes Funcionais</t>
  </si>
  <si>
    <t>Executar Homologação</t>
  </si>
  <si>
    <t>Preparar build e instalar em ambiente ATS</t>
  </si>
  <si>
    <t>Transferir Conhecimento</t>
  </si>
  <si>
    <t>Preparar Implantação</t>
  </si>
  <si>
    <t>Instalar em Produção</t>
  </si>
  <si>
    <t>PCT "Sim"</t>
  </si>
  <si>
    <t>PCT "Não"</t>
  </si>
  <si>
    <t>Artefatos entregável? (Lista Mestra de Artefatos)</t>
  </si>
  <si>
    <t xml:space="preserve"> (REVISAR)</t>
  </si>
  <si>
    <t>DE-2015-0043814</t>
  </si>
  <si>
    <t>Ajustes para Termo de Moedas e Commodities</t>
  </si>
  <si>
    <t>RDN 1 e 2 - Alteração de Form (Campo Conv. Partida)</t>
  </si>
  <si>
    <t>RDN 6 - Alteração Relatório (Campo Tx Jrs Base 252)</t>
  </si>
  <si>
    <t>RDN 3 e 4 - Alteração Relatório (Campo Fixing Moeda)</t>
  </si>
  <si>
    <t>RDN 5 - Alteração de Form (Cálulo Modalidade Termo Asiático)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</si>
</sst>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0\)"/>
    <numFmt numFmtId="166" formatCode="0.0%"/>
    <numFmt numFmtId="167" formatCode="0.0"/>
    <numFmt numFmtId="168" formatCode="_(* #,##0_);_(* \(#,##0\);_(* &quot;-&quot;??_);_(@_)"/>
    <numFmt numFmtId="169" formatCode="d/mmm/yyyy"/>
    <numFmt numFmtId="170" formatCode="\+\ 0\ %"/>
  </numFmts>
  <fonts count="37" x14ac:knownFonts="1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10"/>
      <name val="Arial"/>
      <family val="2"/>
    </font>
    <font>
      <b/>
      <i/>
      <sz val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sz val="10"/>
      <name val="MS Sans Serif"/>
      <family val="2"/>
    </font>
    <font>
      <b/>
      <sz val="12"/>
      <color indexed="9"/>
      <name val="Arial"/>
      <family val="2"/>
    </font>
    <font>
      <sz val="8"/>
      <name val="MS Sans Serif"/>
      <family val="2"/>
    </font>
    <font>
      <b/>
      <sz val="10"/>
      <color indexed="12"/>
      <name val="Arial"/>
      <family val="2"/>
    </font>
    <font>
      <sz val="10"/>
      <color indexed="9"/>
      <name val="Arial"/>
      <family val="2"/>
    </font>
    <font>
      <sz val="8"/>
      <color indexed="9"/>
      <name val="Arial"/>
      <family val="2"/>
    </font>
    <font>
      <sz val="10"/>
      <color indexed="12"/>
      <name val="Arial"/>
      <family val="2"/>
    </font>
    <font>
      <sz val="9"/>
      <name val="Arial"/>
      <family val="2"/>
    </font>
    <font>
      <b/>
      <sz val="8"/>
      <color indexed="10"/>
      <name val="Arial"/>
      <family val="2"/>
    </font>
    <font>
      <sz val="12"/>
      <name val="Arial"/>
      <family val="2"/>
    </font>
    <font>
      <i/>
      <sz val="10"/>
      <name val="Arial"/>
      <family val="2"/>
    </font>
    <font>
      <b/>
      <sz val="8"/>
      <color rgb="FFFF0000"/>
      <name val="Arial"/>
      <family val="2"/>
    </font>
    <font>
      <sz val="10"/>
      <color rgb="FFFF0000"/>
      <name val="Arial"/>
      <family val="2"/>
    </font>
    <font>
      <b/>
      <sz val="8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rgb="FFFF0000"/>
      <name val="Arial"/>
      <family val="2"/>
    </font>
    <font>
      <sz val="8"/>
      <color rgb="FF000000"/>
      <name val="Tahoma"/>
      <family val="2"/>
    </font>
    <font>
      <sz val="8"/>
      <color rgb="FFFF000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4659260841701"/>
        <bgColor indexed="64"/>
      </patternFill>
    </fill>
  </fills>
  <borders count="80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19" fillId="0" borderId="0"/>
    <xf numFmtId="0" fontId="26" fillId="0" borderId="0"/>
    <xf numFmtId="9" fontId="1" fillId="0" borderId="0" applyFont="0" applyFill="0" applyBorder="0" applyAlignment="0" applyProtection="0"/>
  </cellStyleXfs>
  <cellXfs count="526">
    <xf numFmtId="0" fontId="0" fillId="0" borderId="0" xfId="0"/>
    <xf numFmtId="0" fontId="4" fillId="0" borderId="0" xfId="0" applyFont="1" applyAlignment="1">
      <alignment wrapText="1"/>
    </xf>
    <xf numFmtId="0" fontId="7" fillId="2" borderId="2" xfId="0" applyFont="1" applyFill="1" applyBorder="1"/>
    <xf numFmtId="0" fontId="7" fillId="0" borderId="0" xfId="0" applyFont="1"/>
    <xf numFmtId="0" fontId="7" fillId="4" borderId="2" xfId="0" applyFont="1" applyFill="1" applyBorder="1"/>
    <xf numFmtId="0" fontId="7" fillId="5" borderId="2" xfId="0" applyFont="1" applyFill="1" applyBorder="1"/>
    <xf numFmtId="0" fontId="7" fillId="6" borderId="2" xfId="0" applyFont="1" applyFill="1" applyBorder="1" applyAlignment="1">
      <alignment wrapText="1"/>
    </xf>
    <xf numFmtId="0" fontId="6" fillId="4" borderId="2" xfId="0" applyFont="1" applyFill="1" applyBorder="1"/>
    <xf numFmtId="0" fontId="6" fillId="5" borderId="2" xfId="0" applyFont="1" applyFill="1" applyBorder="1"/>
    <xf numFmtId="0" fontId="7" fillId="6" borderId="4" xfId="0" applyFont="1" applyFill="1" applyBorder="1"/>
    <xf numFmtId="0" fontId="0" fillId="7" borderId="0" xfId="0" applyFill="1"/>
    <xf numFmtId="0" fontId="6" fillId="7" borderId="2" xfId="0" applyFont="1" applyFill="1" applyBorder="1"/>
    <xf numFmtId="0" fontId="7" fillId="7" borderId="4" xfId="0" applyFont="1" applyFill="1" applyBorder="1"/>
    <xf numFmtId="0" fontId="6" fillId="7" borderId="4" xfId="0" applyFont="1" applyFill="1" applyBorder="1"/>
    <xf numFmtId="0" fontId="7" fillId="0" borderId="0" xfId="0" applyFont="1" applyAlignment="1">
      <alignment wrapText="1"/>
    </xf>
    <xf numFmtId="0" fontId="7" fillId="0" borderId="0" xfId="0" applyFont="1" applyAlignment="1">
      <alignment horizontal="center"/>
    </xf>
    <xf numFmtId="1" fontId="7" fillId="0" borderId="0" xfId="0" applyNumberFormat="1" applyFont="1"/>
    <xf numFmtId="2" fontId="7" fillId="0" borderId="0" xfId="0" applyNumberFormat="1" applyFont="1"/>
    <xf numFmtId="167" fontId="7" fillId="0" borderId="0" xfId="0" applyNumberFormat="1" applyFont="1"/>
    <xf numFmtId="0" fontId="7" fillId="0" borderId="0" xfId="0" applyFont="1" applyBorder="1" applyAlignment="1">
      <alignment wrapText="1"/>
    </xf>
    <xf numFmtId="0" fontId="7" fillId="0" borderId="1" xfId="0" applyFont="1" applyBorder="1" applyAlignment="1">
      <alignment wrapText="1"/>
    </xf>
    <xf numFmtId="2" fontId="7" fillId="0" borderId="0" xfId="0" applyNumberFormat="1" applyFont="1" applyAlignment="1">
      <alignment horizontal="center"/>
    </xf>
    <xf numFmtId="0" fontId="6" fillId="0" borderId="5" xfId="0" applyFont="1" applyBorder="1" applyAlignment="1">
      <alignment horizontal="center" wrapText="1"/>
    </xf>
    <xf numFmtId="0" fontId="15" fillId="11" borderId="6" xfId="0" applyFont="1" applyFill="1" applyBorder="1" applyAlignment="1">
      <alignment horizontal="centerContinuous" wrapText="1"/>
    </xf>
    <xf numFmtId="0" fontId="16" fillId="11" borderId="7" xfId="0" applyFont="1" applyFill="1" applyBorder="1" applyAlignment="1">
      <alignment horizontal="centerContinuous" wrapText="1"/>
    </xf>
    <xf numFmtId="0" fontId="15" fillId="11" borderId="7" xfId="0" applyFont="1" applyFill="1" applyBorder="1" applyAlignment="1">
      <alignment horizontal="centerContinuous" wrapText="1"/>
    </xf>
    <xf numFmtId="0" fontId="15" fillId="11" borderId="8" xfId="0" applyFont="1" applyFill="1" applyBorder="1" applyAlignment="1">
      <alignment horizontal="centerContinuous" wrapText="1"/>
    </xf>
    <xf numFmtId="0" fontId="6" fillId="11" borderId="2" xfId="0" applyFont="1" applyFill="1" applyBorder="1"/>
    <xf numFmtId="0" fontId="7" fillId="11" borderId="3" xfId="0" applyFont="1" applyFill="1" applyBorder="1"/>
    <xf numFmtId="0" fontId="7" fillId="11" borderId="2" xfId="0" applyFont="1" applyFill="1" applyBorder="1"/>
    <xf numFmtId="0" fontId="15" fillId="12" borderId="6" xfId="0" applyFont="1" applyFill="1" applyBorder="1" applyAlignment="1">
      <alignment horizontal="centerContinuous" wrapText="1"/>
    </xf>
    <xf numFmtId="0" fontId="16" fillId="12" borderId="7" xfId="0" applyFont="1" applyFill="1" applyBorder="1" applyAlignment="1">
      <alignment horizontal="centerContinuous" wrapText="1"/>
    </xf>
    <xf numFmtId="0" fontId="15" fillId="12" borderId="7" xfId="0" applyFont="1" applyFill="1" applyBorder="1" applyAlignment="1">
      <alignment horizontal="centerContinuous" wrapText="1"/>
    </xf>
    <xf numFmtId="0" fontId="6" fillId="12" borderId="2" xfId="0" applyFont="1" applyFill="1" applyBorder="1"/>
    <xf numFmtId="0" fontId="7" fillId="12" borderId="3" xfId="0" applyFont="1" applyFill="1" applyBorder="1"/>
    <xf numFmtId="0" fontId="7" fillId="12" borderId="2" xfId="0" applyFont="1" applyFill="1" applyBorder="1"/>
    <xf numFmtId="0" fontId="0" fillId="12" borderId="2" xfId="0" applyFill="1" applyBorder="1" applyAlignment="1">
      <alignment wrapText="1"/>
    </xf>
    <xf numFmtId="0" fontId="12" fillId="12" borderId="3" xfId="0" applyFont="1" applyFill="1" applyBorder="1" applyAlignment="1">
      <alignment wrapText="1"/>
    </xf>
    <xf numFmtId="9" fontId="7" fillId="12" borderId="2" xfId="4" applyFont="1" applyFill="1" applyBorder="1" applyAlignment="1">
      <alignment wrapText="1"/>
    </xf>
    <xf numFmtId="0" fontId="6" fillId="12" borderId="2" xfId="0" applyFont="1" applyFill="1" applyBorder="1" applyAlignment="1">
      <alignment wrapText="1"/>
    </xf>
    <xf numFmtId="0" fontId="4" fillId="12" borderId="2" xfId="0" applyFont="1" applyFill="1" applyBorder="1" applyAlignment="1">
      <alignment textRotation="90" wrapText="1"/>
    </xf>
    <xf numFmtId="0" fontId="7" fillId="4" borderId="2" xfId="0" applyFont="1" applyFill="1" applyBorder="1" applyProtection="1">
      <protection locked="0"/>
    </xf>
    <xf numFmtId="0" fontId="7" fillId="5" borderId="2" xfId="0" applyFont="1" applyFill="1" applyBorder="1" applyProtection="1">
      <protection locked="0"/>
    </xf>
    <xf numFmtId="0" fontId="7" fillId="2" borderId="9" xfId="0" applyFont="1" applyFill="1" applyBorder="1" applyAlignment="1" applyProtection="1">
      <alignment wrapText="1"/>
      <protection locked="0"/>
    </xf>
    <xf numFmtId="0" fontId="7" fillId="2" borderId="2" xfId="0" applyFont="1" applyFill="1" applyBorder="1" applyProtection="1">
      <protection locked="0"/>
    </xf>
    <xf numFmtId="0" fontId="0" fillId="13" borderId="0" xfId="0" applyFill="1"/>
    <xf numFmtId="0" fontId="0" fillId="13" borderId="0" xfId="0" applyFill="1" applyAlignment="1">
      <alignment wrapText="1"/>
    </xf>
    <xf numFmtId="0" fontId="6" fillId="6" borderId="0" xfId="0" applyFont="1" applyFill="1" applyBorder="1" applyAlignment="1">
      <alignment wrapText="1"/>
    </xf>
    <xf numFmtId="0" fontId="6" fillId="13" borderId="0" xfId="0" applyFont="1" applyFill="1" applyBorder="1" applyAlignment="1">
      <alignment wrapText="1"/>
    </xf>
    <xf numFmtId="0" fontId="4" fillId="13" borderId="0" xfId="0" applyFont="1" applyFill="1" applyBorder="1" applyAlignment="1">
      <alignment wrapText="1"/>
    </xf>
    <xf numFmtId="0" fontId="30" fillId="13" borderId="0" xfId="0" applyFont="1" applyFill="1" applyBorder="1" applyAlignment="1"/>
    <xf numFmtId="0" fontId="31" fillId="13" borderId="0" xfId="0" applyFont="1" applyFill="1" applyBorder="1" applyAlignment="1"/>
    <xf numFmtId="0" fontId="0" fillId="13" borderId="0" xfId="0" applyFill="1" applyBorder="1"/>
    <xf numFmtId="0" fontId="0" fillId="13" borderId="0" xfId="0" applyFill="1" applyBorder="1" applyAlignment="1">
      <alignment wrapText="1"/>
    </xf>
    <xf numFmtId="0" fontId="4" fillId="13" borderId="0" xfId="0" applyFont="1" applyFill="1" applyBorder="1" applyAlignment="1"/>
    <xf numFmtId="0" fontId="3" fillId="13" borderId="0" xfId="0" applyFont="1" applyFill="1" applyBorder="1" applyAlignment="1" applyProtection="1">
      <alignment horizontal="center" vertical="top" wrapText="1"/>
    </xf>
    <xf numFmtId="0" fontId="7" fillId="13" borderId="0" xfId="0" applyFont="1" applyFill="1"/>
    <xf numFmtId="0" fontId="6" fillId="13" borderId="0" xfId="0" applyFont="1" applyFill="1"/>
    <xf numFmtId="0" fontId="19" fillId="0" borderId="0" xfId="2" applyFill="1"/>
    <xf numFmtId="0" fontId="19" fillId="0" borderId="0" xfId="2" applyFill="1" applyBorder="1" applyAlignment="1"/>
    <xf numFmtId="0" fontId="19" fillId="0" borderId="0" xfId="2" applyFill="1" applyBorder="1"/>
    <xf numFmtId="0" fontId="3" fillId="0" borderId="0" xfId="2" applyFont="1" applyProtection="1"/>
    <xf numFmtId="0" fontId="19" fillId="6" borderId="0" xfId="2" applyFill="1"/>
    <xf numFmtId="0" fontId="21" fillId="0" borderId="2" xfId="2" applyFont="1" applyFill="1" applyBorder="1" applyAlignment="1">
      <alignment horizontal="center"/>
    </xf>
    <xf numFmtId="0" fontId="19" fillId="0" borderId="2" xfId="2" applyFont="1" applyFill="1" applyBorder="1" applyAlignment="1">
      <alignment horizontal="center"/>
    </xf>
    <xf numFmtId="0" fontId="19" fillId="0" borderId="11" xfId="2" applyFill="1" applyBorder="1" applyAlignment="1">
      <alignment horizontal="center"/>
    </xf>
    <xf numFmtId="0" fontId="5" fillId="0" borderId="8" xfId="2" applyFont="1" applyFill="1" applyBorder="1" applyAlignment="1">
      <alignment horizontal="left"/>
    </xf>
    <xf numFmtId="0" fontId="19" fillId="0" borderId="11" xfId="2" applyFill="1" applyBorder="1" applyAlignment="1">
      <alignment horizontal="right"/>
    </xf>
    <xf numFmtId="0" fontId="21" fillId="0" borderId="12" xfId="2" applyFont="1" applyFill="1" applyBorder="1" applyAlignment="1">
      <alignment horizontal="center"/>
    </xf>
    <xf numFmtId="0" fontId="19" fillId="0" borderId="13" xfId="2" applyFill="1" applyBorder="1" applyAlignment="1">
      <alignment horizontal="center"/>
    </xf>
    <xf numFmtId="0" fontId="19" fillId="0" borderId="4" xfId="2" applyFill="1" applyBorder="1" applyAlignment="1">
      <alignment horizontal="left"/>
    </xf>
    <xf numFmtId="0" fontId="19" fillId="0" borderId="13" xfId="2" applyFill="1" applyBorder="1" applyAlignment="1">
      <alignment horizontal="right"/>
    </xf>
    <xf numFmtId="0" fontId="19" fillId="0" borderId="10" xfId="2" applyFont="1" applyFill="1" applyBorder="1"/>
    <xf numFmtId="0" fontId="19" fillId="0" borderId="12" xfId="2" applyFill="1" applyBorder="1" applyAlignment="1">
      <alignment horizontal="center"/>
    </xf>
    <xf numFmtId="0" fontId="19" fillId="0" borderId="14" xfId="2" applyFill="1" applyBorder="1"/>
    <xf numFmtId="0" fontId="19" fillId="0" borderId="10" xfId="2" applyFill="1" applyBorder="1"/>
    <xf numFmtId="0" fontId="5" fillId="0" borderId="14" xfId="2" applyFont="1" applyFill="1" applyBorder="1"/>
    <xf numFmtId="170" fontId="5" fillId="0" borderId="10" xfId="4" applyNumberFormat="1" applyFont="1" applyFill="1" applyBorder="1"/>
    <xf numFmtId="0" fontId="19" fillId="0" borderId="6" xfId="2" applyFill="1" applyBorder="1" applyAlignment="1">
      <alignment horizontal="center"/>
    </xf>
    <xf numFmtId="0" fontId="19" fillId="0" borderId="7" xfId="2" applyFill="1" applyBorder="1"/>
    <xf numFmtId="0" fontId="19" fillId="0" borderId="8" xfId="2" applyFill="1" applyBorder="1"/>
    <xf numFmtId="0" fontId="19" fillId="0" borderId="15" xfId="2" applyFill="1" applyBorder="1"/>
    <xf numFmtId="0" fontId="19" fillId="0" borderId="16" xfId="2" applyFill="1" applyBorder="1"/>
    <xf numFmtId="0" fontId="19" fillId="0" borderId="17" xfId="2" applyFill="1" applyBorder="1"/>
    <xf numFmtId="0" fontId="19" fillId="0" borderId="0" xfId="2"/>
    <xf numFmtId="0" fontId="22" fillId="0" borderId="0" xfId="2" applyFont="1" applyProtection="1"/>
    <xf numFmtId="0" fontId="19" fillId="0" borderId="0" xfId="2" applyAlignment="1"/>
    <xf numFmtId="0" fontId="4" fillId="0" borderId="0" xfId="2" applyFont="1" applyFill="1" applyBorder="1" applyAlignment="1" applyProtection="1"/>
    <xf numFmtId="0" fontId="19" fillId="0" borderId="0" xfId="2" applyFont="1" applyFill="1" applyBorder="1" applyAlignment="1"/>
    <xf numFmtId="0" fontId="19" fillId="0" borderId="0" xfId="2" applyFill="1" applyAlignment="1"/>
    <xf numFmtId="0" fontId="19" fillId="0" borderId="0" xfId="2" applyFont="1" applyFill="1" applyBorder="1" applyAlignment="1">
      <alignment horizontal="center"/>
    </xf>
    <xf numFmtId="0" fontId="5" fillId="0" borderId="0" xfId="2" applyFont="1" applyFill="1" applyBorder="1" applyAlignment="1" applyProtection="1"/>
    <xf numFmtId="0" fontId="7" fillId="0" borderId="0" xfId="2" applyFont="1" applyFill="1" applyBorder="1" applyAlignment="1"/>
    <xf numFmtId="0" fontId="19" fillId="0" borderId="0" xfId="2" applyFill="1" applyBorder="1" applyAlignment="1">
      <alignment horizontal="center"/>
    </xf>
    <xf numFmtId="0" fontId="23" fillId="0" borderId="0" xfId="2" applyFont="1" applyFill="1" applyBorder="1" applyAlignment="1" applyProtection="1"/>
    <xf numFmtId="0" fontId="24" fillId="0" borderId="0" xfId="2" applyFont="1" applyFill="1" applyBorder="1" applyAlignment="1"/>
    <xf numFmtId="0" fontId="25" fillId="0" borderId="0" xfId="2" applyFont="1" applyFill="1" applyBorder="1" applyAlignment="1" applyProtection="1"/>
    <xf numFmtId="0" fontId="22" fillId="0" borderId="0" xfId="2" applyFont="1" applyFill="1" applyBorder="1" applyAlignment="1" applyProtection="1"/>
    <xf numFmtId="0" fontId="22" fillId="0" borderId="0" xfId="2" applyFont="1" applyAlignment="1" applyProtection="1"/>
    <xf numFmtId="0" fontId="5" fillId="0" borderId="0" xfId="2" applyFont="1" applyAlignment="1" applyProtection="1"/>
    <xf numFmtId="0" fontId="6" fillId="13" borderId="0" xfId="0" applyFont="1" applyFill="1" applyBorder="1" applyAlignment="1" applyProtection="1">
      <alignment horizontal="left"/>
      <protection locked="0"/>
    </xf>
    <xf numFmtId="0" fontId="32" fillId="13" borderId="0" xfId="0" applyFont="1" applyFill="1" applyBorder="1" applyAlignment="1" applyProtection="1">
      <alignment horizontal="left"/>
      <protection locked="0" hidden="1"/>
    </xf>
    <xf numFmtId="0" fontId="0" fillId="13" borderId="0" xfId="0" applyFill="1" applyBorder="1" applyProtection="1">
      <protection hidden="1"/>
    </xf>
    <xf numFmtId="0" fontId="7" fillId="0" borderId="0" xfId="3" applyFont="1" applyAlignment="1">
      <alignment wrapText="1"/>
    </xf>
    <xf numFmtId="0" fontId="7" fillId="0" borderId="0" xfId="3" applyFont="1"/>
    <xf numFmtId="0" fontId="6" fillId="0" borderId="0" xfId="3" applyFont="1" applyAlignment="1">
      <alignment horizontal="center" wrapText="1"/>
    </xf>
    <xf numFmtId="0" fontId="6" fillId="0" borderId="0" xfId="3" applyFont="1" applyAlignment="1">
      <alignment horizontal="center"/>
    </xf>
    <xf numFmtId="0" fontId="6" fillId="6" borderId="0" xfId="3" applyFont="1" applyFill="1" applyAlignment="1">
      <alignment horizontal="center"/>
    </xf>
    <xf numFmtId="0" fontId="6" fillId="6" borderId="0" xfId="3" applyFont="1" applyFill="1" applyAlignment="1">
      <alignment horizontal="center" wrapText="1"/>
    </xf>
    <xf numFmtId="0" fontId="6" fillId="0" borderId="0" xfId="3" applyFont="1" applyAlignment="1">
      <alignment horizontal="left" wrapText="1"/>
    </xf>
    <xf numFmtId="0" fontId="7" fillId="0" borderId="0" xfId="3" applyFont="1" applyAlignment="1">
      <alignment horizontal="center" wrapText="1"/>
    </xf>
    <xf numFmtId="168" fontId="7" fillId="0" borderId="0" xfId="1" applyNumberFormat="1" applyFont="1" applyAlignment="1">
      <alignment horizontal="center" wrapText="1"/>
    </xf>
    <xf numFmtId="168" fontId="7" fillId="6" borderId="0" xfId="1" applyNumberFormat="1" applyFont="1" applyFill="1" applyAlignment="1">
      <alignment horizontal="center" wrapText="1"/>
    </xf>
    <xf numFmtId="168" fontId="7" fillId="0" borderId="0" xfId="1" applyNumberFormat="1" applyFont="1"/>
    <xf numFmtId="168" fontId="7" fillId="6" borderId="0" xfId="1" applyNumberFormat="1" applyFont="1" applyFill="1"/>
    <xf numFmtId="0" fontId="7" fillId="0" borderId="18" xfId="3" applyFont="1" applyBorder="1" applyAlignment="1">
      <alignment wrapText="1"/>
    </xf>
    <xf numFmtId="0" fontId="7" fillId="0" borderId="18" xfId="3" applyFont="1" applyBorder="1"/>
    <xf numFmtId="168" fontId="7" fillId="0" borderId="18" xfId="1" applyNumberFormat="1" applyFont="1" applyBorder="1"/>
    <xf numFmtId="168" fontId="7" fillId="6" borderId="18" xfId="1" applyNumberFormat="1" applyFont="1" applyFill="1" applyBorder="1"/>
    <xf numFmtId="0" fontId="6" fillId="0" borderId="0" xfId="3" applyFont="1" applyAlignment="1">
      <alignment wrapText="1"/>
    </xf>
    <xf numFmtId="0" fontId="6" fillId="0" borderId="0" xfId="3" applyFont="1"/>
    <xf numFmtId="168" fontId="6" fillId="0" borderId="0" xfId="1" applyNumberFormat="1" applyFont="1"/>
    <xf numFmtId="168" fontId="6" fillId="6" borderId="0" xfId="1" applyNumberFormat="1" applyFont="1" applyFill="1"/>
    <xf numFmtId="0" fontId="7" fillId="6" borderId="0" xfId="3" applyFont="1" applyFill="1"/>
    <xf numFmtId="0" fontId="33" fillId="13" borderId="0" xfId="0" applyFont="1" applyFill="1" applyBorder="1" applyAlignment="1"/>
    <xf numFmtId="0" fontId="7" fillId="11" borderId="2" xfId="0" applyFont="1" applyFill="1" applyBorder="1"/>
    <xf numFmtId="0" fontId="7" fillId="11" borderId="2" xfId="0" applyFont="1" applyFill="1" applyBorder="1"/>
    <xf numFmtId="0" fontId="4" fillId="5" borderId="2" xfId="0" applyFont="1" applyFill="1" applyBorder="1" applyAlignment="1">
      <alignment textRotation="90" wrapText="1"/>
    </xf>
    <xf numFmtId="0" fontId="7" fillId="4" borderId="11" xfId="0" applyFont="1" applyFill="1" applyBorder="1"/>
    <xf numFmtId="0" fontId="7" fillId="5" borderId="11" xfId="0" applyFont="1" applyFill="1" applyBorder="1"/>
    <xf numFmtId="0" fontId="7" fillId="12" borderId="11" xfId="0" applyFont="1" applyFill="1" applyBorder="1" applyAlignment="1">
      <alignment wrapText="1"/>
    </xf>
    <xf numFmtId="0" fontId="7" fillId="11" borderId="11" xfId="0" applyFont="1" applyFill="1" applyBorder="1"/>
    <xf numFmtId="0" fontId="7" fillId="12" borderId="11" xfId="0" applyFont="1" applyFill="1" applyBorder="1"/>
    <xf numFmtId="2" fontId="6" fillId="5" borderId="2" xfId="0" applyNumberFormat="1" applyFont="1" applyFill="1" applyBorder="1"/>
    <xf numFmtId="0" fontId="7" fillId="0" borderId="2" xfId="0" applyFont="1" applyBorder="1"/>
    <xf numFmtId="0" fontId="6" fillId="0" borderId="2" xfId="0" applyFont="1" applyBorder="1"/>
    <xf numFmtId="0" fontId="7" fillId="15" borderId="10" xfId="0" applyFont="1" applyFill="1" applyBorder="1" applyAlignment="1" applyProtection="1">
      <alignment wrapText="1"/>
      <protection locked="0"/>
    </xf>
    <xf numFmtId="0" fontId="0" fillId="13" borderId="0" xfId="0" quotePrefix="1" applyFill="1"/>
    <xf numFmtId="0" fontId="7" fillId="16" borderId="2" xfId="0" applyFont="1" applyFill="1" applyBorder="1"/>
    <xf numFmtId="0" fontId="15" fillId="13" borderId="31" xfId="0" applyFont="1" applyFill="1" applyBorder="1" applyAlignment="1" applyProtection="1">
      <alignment horizontal="center" vertical="center"/>
    </xf>
    <xf numFmtId="0" fontId="1" fillId="13" borderId="0" xfId="0" applyFont="1" applyFill="1" applyBorder="1" applyAlignment="1" applyProtection="1">
      <alignment horizontal="center" vertical="center"/>
    </xf>
    <xf numFmtId="0" fontId="0" fillId="13" borderId="2" xfId="0" applyFill="1" applyBorder="1"/>
    <xf numFmtId="0" fontId="0" fillId="13" borderId="0" xfId="0" applyFill="1" applyBorder="1" applyProtection="1"/>
    <xf numFmtId="0" fontId="0" fillId="13" borderId="0" xfId="0" quotePrefix="1" applyFill="1" applyBorder="1" applyProtection="1"/>
    <xf numFmtId="0" fontId="1" fillId="17" borderId="9" xfId="0" applyFont="1" applyFill="1" applyBorder="1" applyAlignment="1" applyProtection="1">
      <alignment horizontal="center" vertical="center"/>
    </xf>
    <xf numFmtId="0" fontId="3" fillId="13" borderId="0" xfId="0" applyFont="1" applyFill="1" applyBorder="1" applyAlignment="1" applyProtection="1">
      <alignment horizontal="center"/>
    </xf>
    <xf numFmtId="0" fontId="0" fillId="13" borderId="0" xfId="0" applyFill="1" applyProtection="1"/>
    <xf numFmtId="165" fontId="0" fillId="13" borderId="0" xfId="0" applyNumberFormat="1" applyFill="1" applyAlignment="1" applyProtection="1">
      <alignment vertical="top"/>
    </xf>
    <xf numFmtId="0" fontId="0" fillId="13" borderId="0" xfId="0" applyFill="1" applyAlignment="1" applyProtection="1">
      <alignment vertical="top" wrapText="1"/>
    </xf>
    <xf numFmtId="10" fontId="7" fillId="15" borderId="10" xfId="0" applyNumberFormat="1" applyFont="1" applyFill="1" applyBorder="1" applyProtection="1">
      <protection locked="0"/>
    </xf>
    <xf numFmtId="10" fontId="7" fillId="15" borderId="28" xfId="0" applyNumberFormat="1" applyFont="1" applyFill="1" applyBorder="1" applyProtection="1">
      <protection locked="0"/>
    </xf>
    <xf numFmtId="10" fontId="7" fillId="15" borderId="29" xfId="0" applyNumberFormat="1" applyFont="1" applyFill="1" applyBorder="1" applyProtection="1">
      <protection locked="0"/>
    </xf>
    <xf numFmtId="0" fontId="5" fillId="13" borderId="0" xfId="0" applyFont="1" applyFill="1"/>
    <xf numFmtId="0" fontId="28" fillId="13" borderId="5" xfId="0" applyFont="1" applyFill="1" applyBorder="1" applyAlignment="1" applyProtection="1">
      <alignment horizontal="center" vertical="top" wrapText="1"/>
    </xf>
    <xf numFmtId="0" fontId="28" fillId="13" borderId="0" xfId="0" applyFont="1" applyFill="1" applyBorder="1" applyAlignment="1" applyProtection="1">
      <alignment horizontal="center" vertical="top" wrapText="1"/>
    </xf>
    <xf numFmtId="0" fontId="4" fillId="13" borderId="0" xfId="0" applyFont="1" applyFill="1"/>
    <xf numFmtId="0" fontId="29" fillId="13" borderId="2" xfId="0" applyFont="1" applyFill="1" applyBorder="1"/>
    <xf numFmtId="0" fontId="4" fillId="13" borderId="2" xfId="0" applyFont="1" applyFill="1" applyBorder="1"/>
    <xf numFmtId="0" fontId="4" fillId="13" borderId="30" xfId="0" applyFont="1" applyFill="1" applyBorder="1" applyAlignment="1">
      <alignment horizontal="center" vertical="center"/>
    </xf>
    <xf numFmtId="0" fontId="4" fillId="13" borderId="70" xfId="0" applyFont="1" applyFill="1" applyBorder="1" applyAlignment="1">
      <alignment horizontal="center" vertical="center"/>
    </xf>
    <xf numFmtId="0" fontId="4" fillId="13" borderId="31" xfId="0" applyFont="1" applyFill="1" applyBorder="1" applyAlignment="1">
      <alignment horizontal="center" vertical="center"/>
    </xf>
    <xf numFmtId="0" fontId="5" fillId="13" borderId="3" xfId="0" applyFont="1" applyFill="1" applyBorder="1" applyAlignment="1">
      <alignment horizontal="center"/>
    </xf>
    <xf numFmtId="169" fontId="5" fillId="13" borderId="3" xfId="0" applyNumberFormat="1" applyFont="1" applyFill="1" applyBorder="1" applyAlignment="1">
      <alignment horizontal="center"/>
    </xf>
    <xf numFmtId="0" fontId="5" fillId="13" borderId="3" xfId="0" applyFont="1" applyFill="1" applyBorder="1" applyAlignment="1">
      <alignment wrapText="1"/>
    </xf>
    <xf numFmtId="0" fontId="5" fillId="13" borderId="2" xfId="0" applyFont="1" applyFill="1" applyBorder="1" applyAlignment="1">
      <alignment horizontal="center"/>
    </xf>
    <xf numFmtId="169" fontId="5" fillId="13" borderId="3" xfId="0" applyNumberFormat="1" applyFont="1" applyFill="1" applyBorder="1" applyAlignment="1" applyProtection="1">
      <alignment horizontal="center"/>
    </xf>
    <xf numFmtId="0" fontId="5" fillId="13" borderId="2" xfId="0" applyFont="1" applyFill="1" applyBorder="1" applyAlignment="1">
      <alignment wrapText="1"/>
    </xf>
    <xf numFmtId="0" fontId="5" fillId="13" borderId="3" xfId="0" applyFont="1" applyFill="1" applyBorder="1" applyAlignment="1" applyProtection="1">
      <alignment horizontal="center"/>
    </xf>
    <xf numFmtId="0" fontId="0" fillId="13" borderId="2" xfId="0" applyFill="1" applyBorder="1" applyAlignment="1">
      <alignment wrapText="1"/>
    </xf>
    <xf numFmtId="0" fontId="0" fillId="13" borderId="0" xfId="0" applyFill="1" applyAlignment="1">
      <alignment horizontal="center"/>
    </xf>
    <xf numFmtId="0" fontId="0" fillId="0" borderId="0" xfId="0" applyProtection="1"/>
    <xf numFmtId="0" fontId="7" fillId="0" borderId="0" xfId="0" applyFont="1" applyProtection="1"/>
    <xf numFmtId="0" fontId="0" fillId="0" borderId="0" xfId="0" applyBorder="1" applyProtection="1"/>
    <xf numFmtId="0" fontId="6" fillId="0" borderId="0" xfId="0" applyFont="1" applyProtection="1"/>
    <xf numFmtId="0" fontId="6" fillId="14" borderId="2" xfId="0" applyFont="1" applyFill="1" applyBorder="1" applyAlignment="1" applyProtection="1">
      <alignment horizontal="right"/>
    </xf>
    <xf numFmtId="0" fontId="6" fillId="13" borderId="0" xfId="0" applyFont="1" applyFill="1" applyBorder="1" applyAlignment="1" applyProtection="1">
      <alignment horizontal="right"/>
    </xf>
    <xf numFmtId="0" fontId="7" fillId="0" borderId="0" xfId="0" applyFont="1" applyAlignment="1" applyProtection="1">
      <alignment horizontal="left"/>
    </xf>
    <xf numFmtId="0" fontId="6" fillId="3" borderId="0" xfId="0" applyFont="1" applyFill="1" applyProtection="1"/>
    <xf numFmtId="0" fontId="0" fillId="0" borderId="12" xfId="0" applyBorder="1" applyProtection="1"/>
    <xf numFmtId="0" fontId="7" fillId="2" borderId="2" xfId="0" applyFont="1" applyFill="1" applyBorder="1" applyProtection="1"/>
    <xf numFmtId="0" fontId="7" fillId="17" borderId="2" xfId="0" applyFont="1" applyFill="1" applyBorder="1" applyProtection="1"/>
    <xf numFmtId="0" fontId="15" fillId="13" borderId="9" xfId="0" applyFont="1" applyFill="1" applyBorder="1" applyAlignment="1" applyProtection="1">
      <alignment horizontal="center" vertical="center"/>
    </xf>
    <xf numFmtId="0" fontId="15" fillId="13" borderId="30" xfId="0" applyFont="1" applyFill="1" applyBorder="1" applyAlignment="1" applyProtection="1">
      <alignment horizontal="center" vertical="center"/>
    </xf>
    <xf numFmtId="0" fontId="5" fillId="13" borderId="32" xfId="0" applyFont="1" applyFill="1" applyBorder="1" applyAlignment="1" applyProtection="1"/>
    <xf numFmtId="0" fontId="1" fillId="13" borderId="33" xfId="0" applyFont="1" applyFill="1" applyBorder="1" applyAlignment="1" applyProtection="1">
      <alignment horizontal="center" vertical="center"/>
    </xf>
    <xf numFmtId="0" fontId="5" fillId="13" borderId="12" xfId="0" applyFont="1" applyFill="1" applyBorder="1" applyAlignment="1" applyProtection="1"/>
    <xf numFmtId="0" fontId="1" fillId="13" borderId="34" xfId="0" applyFont="1" applyFill="1" applyBorder="1" applyAlignment="1" applyProtection="1">
      <alignment horizontal="center" vertical="center"/>
    </xf>
    <xf numFmtId="0" fontId="5" fillId="13" borderId="6" xfId="0" applyFont="1" applyFill="1" applyBorder="1" applyAlignment="1" applyProtection="1"/>
    <xf numFmtId="0" fontId="1" fillId="13" borderId="35" xfId="0" applyFont="1" applyFill="1" applyBorder="1" applyAlignment="1" applyProtection="1">
      <alignment horizontal="center" vertical="center"/>
    </xf>
    <xf numFmtId="0" fontId="5" fillId="13" borderId="36" xfId="0" applyFont="1" applyFill="1" applyBorder="1" applyAlignment="1" applyProtection="1"/>
    <xf numFmtId="0" fontId="1" fillId="13" borderId="37" xfId="0" applyFont="1" applyFill="1" applyBorder="1" applyAlignment="1" applyProtection="1">
      <alignment horizontal="center" vertical="center"/>
    </xf>
    <xf numFmtId="0" fontId="4" fillId="13" borderId="0" xfId="0" applyFont="1" applyFill="1" applyBorder="1" applyAlignment="1" applyProtection="1">
      <alignment horizontal="center" vertical="center"/>
    </xf>
    <xf numFmtId="0" fontId="4" fillId="13" borderId="0" xfId="0" applyFont="1" applyFill="1" applyBorder="1" applyAlignment="1" applyProtection="1">
      <alignment horizontal="left" vertical="center"/>
    </xf>
    <xf numFmtId="0" fontId="5" fillId="13" borderId="0" xfId="0" applyFont="1" applyFill="1" applyBorder="1" applyAlignment="1" applyProtection="1"/>
    <xf numFmtId="0" fontId="1" fillId="13" borderId="38" xfId="0" applyFont="1" applyFill="1" applyBorder="1" applyAlignment="1" applyProtection="1">
      <alignment horizontal="center" vertical="center"/>
    </xf>
    <xf numFmtId="0" fontId="1" fillId="13" borderId="39" xfId="0" applyFont="1" applyFill="1" applyBorder="1" applyAlignment="1" applyProtection="1">
      <alignment horizontal="center" vertical="center"/>
    </xf>
    <xf numFmtId="0" fontId="4" fillId="13" borderId="40" xfId="0" applyFont="1" applyFill="1" applyBorder="1" applyAlignment="1" applyProtection="1">
      <alignment horizontal="center" vertical="center"/>
    </xf>
    <xf numFmtId="0" fontId="5" fillId="13" borderId="41" xfId="0" applyFont="1" applyFill="1" applyBorder="1" applyAlignment="1" applyProtection="1"/>
    <xf numFmtId="0" fontId="1" fillId="13" borderId="9" xfId="0" applyFont="1" applyFill="1" applyBorder="1" applyAlignment="1" applyProtection="1">
      <alignment horizontal="center" vertical="center"/>
    </xf>
    <xf numFmtId="0" fontId="1" fillId="13" borderId="42" xfId="0" applyFont="1" applyFill="1" applyBorder="1" applyAlignment="1" applyProtection="1">
      <alignment horizontal="center" vertical="center"/>
    </xf>
    <xf numFmtId="0" fontId="1" fillId="13" borderId="43" xfId="0" applyFont="1" applyFill="1" applyBorder="1" applyAlignment="1" applyProtection="1">
      <alignment horizontal="center" vertical="center"/>
    </xf>
    <xf numFmtId="0" fontId="1" fillId="13" borderId="44" xfId="0" applyFont="1" applyFill="1" applyBorder="1" applyAlignment="1" applyProtection="1">
      <alignment horizontal="center" vertical="center"/>
    </xf>
    <xf numFmtId="0" fontId="1" fillId="13" borderId="45" xfId="0" applyFont="1" applyFill="1" applyBorder="1" applyAlignment="1" applyProtection="1">
      <alignment horizontal="center" vertical="center"/>
    </xf>
    <xf numFmtId="0" fontId="1" fillId="13" borderId="46" xfId="0" applyFont="1" applyFill="1" applyBorder="1" applyAlignment="1" applyProtection="1">
      <alignment horizontal="center" vertical="center"/>
    </xf>
    <xf numFmtId="0" fontId="5" fillId="13" borderId="47" xfId="0" applyFont="1" applyFill="1" applyBorder="1" applyAlignment="1" applyProtection="1"/>
    <xf numFmtId="0" fontId="1" fillId="13" borderId="48" xfId="0" applyFont="1" applyFill="1" applyBorder="1" applyAlignment="1" applyProtection="1">
      <alignment horizontal="center" vertical="center"/>
    </xf>
    <xf numFmtId="0" fontId="1" fillId="13" borderId="5" xfId="0" applyFont="1" applyFill="1" applyBorder="1" applyAlignment="1" applyProtection="1">
      <alignment horizontal="center" vertical="center"/>
    </xf>
    <xf numFmtId="0" fontId="5" fillId="13" borderId="49" xfId="0" applyFont="1" applyFill="1" applyBorder="1" applyAlignment="1" applyProtection="1"/>
    <xf numFmtId="0" fontId="1" fillId="13" borderId="50" xfId="0" applyFont="1" applyFill="1" applyBorder="1" applyAlignment="1" applyProtection="1">
      <alignment horizontal="center" vertical="center"/>
    </xf>
    <xf numFmtId="0" fontId="1" fillId="13" borderId="51" xfId="0" applyFont="1" applyFill="1" applyBorder="1" applyAlignment="1" applyProtection="1">
      <alignment horizontal="center" vertical="center"/>
    </xf>
    <xf numFmtId="0" fontId="1" fillId="13" borderId="52" xfId="0" applyFont="1" applyFill="1" applyBorder="1" applyAlignment="1" applyProtection="1">
      <alignment horizontal="center" vertical="center"/>
    </xf>
    <xf numFmtId="0" fontId="1" fillId="13" borderId="14" xfId="0" applyFont="1" applyFill="1" applyBorder="1" applyAlignment="1" applyProtection="1">
      <alignment horizontal="center" vertical="center"/>
    </xf>
    <xf numFmtId="0" fontId="5" fillId="13" borderId="53" xfId="0" applyFont="1" applyFill="1" applyBorder="1" applyAlignment="1" applyProtection="1"/>
    <xf numFmtId="0" fontId="1" fillId="13" borderId="54" xfId="0" applyFont="1" applyFill="1" applyBorder="1" applyAlignment="1" applyProtection="1">
      <alignment horizontal="center" vertical="center"/>
    </xf>
    <xf numFmtId="0" fontId="1" fillId="13" borderId="55" xfId="0" applyFont="1" applyFill="1" applyBorder="1" applyAlignment="1" applyProtection="1">
      <alignment horizontal="center" vertical="center"/>
    </xf>
    <xf numFmtId="0" fontId="1" fillId="13" borderId="7" xfId="0" applyFont="1" applyFill="1" applyBorder="1" applyAlignment="1" applyProtection="1">
      <alignment horizontal="center" vertical="center"/>
    </xf>
    <xf numFmtId="0" fontId="5" fillId="13" borderId="5" xfId="0" applyFont="1" applyFill="1" applyBorder="1" applyProtection="1"/>
    <xf numFmtId="0" fontId="5" fillId="13" borderId="0" xfId="0" applyFont="1" applyFill="1" applyBorder="1" applyProtection="1"/>
    <xf numFmtId="0" fontId="5" fillId="13" borderId="32" xfId="0" applyFont="1" applyFill="1" applyBorder="1" applyProtection="1"/>
    <xf numFmtId="0" fontId="5" fillId="13" borderId="12" xfId="0" applyFont="1" applyFill="1" applyBorder="1" applyProtection="1"/>
    <xf numFmtId="0" fontId="5" fillId="13" borderId="36" xfId="0" applyFont="1" applyFill="1" applyBorder="1" applyProtection="1"/>
    <xf numFmtId="0" fontId="1" fillId="13" borderId="16" xfId="0" applyFont="1" applyFill="1" applyBorder="1" applyAlignment="1" applyProtection="1">
      <alignment horizontal="center" vertical="center"/>
    </xf>
    <xf numFmtId="0" fontId="5" fillId="13" borderId="53" xfId="0" applyFont="1" applyFill="1" applyBorder="1" applyProtection="1"/>
    <xf numFmtId="0" fontId="0" fillId="13" borderId="32" xfId="0" applyFill="1" applyBorder="1" applyProtection="1"/>
    <xf numFmtId="0" fontId="7" fillId="13" borderId="12" xfId="0" applyFont="1" applyFill="1" applyBorder="1" applyProtection="1"/>
    <xf numFmtId="0" fontId="7" fillId="13" borderId="36" xfId="0" applyFont="1" applyFill="1" applyBorder="1" applyProtection="1"/>
    <xf numFmtId="0" fontId="7" fillId="13" borderId="0" xfId="0" applyFont="1" applyFill="1" applyBorder="1" applyProtection="1"/>
    <xf numFmtId="0" fontId="0" fillId="13" borderId="22" xfId="0" applyFill="1" applyBorder="1" applyProtection="1"/>
    <xf numFmtId="0" fontId="1" fillId="13" borderId="32" xfId="0" applyFont="1" applyFill="1" applyBorder="1" applyAlignment="1" applyProtection="1">
      <alignment horizontal="center" vertical="center"/>
    </xf>
    <xf numFmtId="0" fontId="0" fillId="13" borderId="2" xfId="0" applyFill="1" applyBorder="1" applyProtection="1"/>
    <xf numFmtId="0" fontId="1" fillId="13" borderId="12" xfId="0" applyFont="1" applyFill="1" applyBorder="1" applyAlignment="1" applyProtection="1">
      <alignment horizontal="center" vertical="center"/>
    </xf>
    <xf numFmtId="0" fontId="0" fillId="13" borderId="23" xfId="0" applyFill="1" applyBorder="1" applyProtection="1"/>
    <xf numFmtId="0" fontId="1" fillId="13" borderId="36" xfId="0" applyFont="1" applyFill="1" applyBorder="1" applyAlignment="1" applyProtection="1">
      <alignment horizontal="center" vertical="center"/>
    </xf>
    <xf numFmtId="0" fontId="1" fillId="13" borderId="56" xfId="0" applyFont="1" applyFill="1" applyBorder="1" applyAlignment="1" applyProtection="1">
      <alignment horizontal="center" vertical="center"/>
    </xf>
    <xf numFmtId="0" fontId="1" fillId="13" borderId="57" xfId="0" applyFont="1" applyFill="1" applyBorder="1" applyAlignment="1" applyProtection="1">
      <alignment horizontal="center" vertical="center"/>
    </xf>
    <xf numFmtId="0" fontId="1" fillId="13" borderId="58" xfId="0" applyFont="1" applyFill="1" applyBorder="1" applyAlignment="1" applyProtection="1">
      <alignment horizontal="center" vertical="center"/>
    </xf>
    <xf numFmtId="0" fontId="0" fillId="13" borderId="59" xfId="0" applyFill="1" applyBorder="1" applyProtection="1"/>
    <xf numFmtId="0" fontId="1" fillId="13" borderId="47" xfId="0" applyFont="1" applyFill="1" applyBorder="1" applyAlignment="1" applyProtection="1">
      <alignment horizontal="center" vertical="center"/>
    </xf>
    <xf numFmtId="0" fontId="6" fillId="13" borderId="0" xfId="0" applyFont="1" applyFill="1" applyProtection="1"/>
    <xf numFmtId="0" fontId="7" fillId="13" borderId="0" xfId="0" applyFont="1" applyFill="1" applyProtection="1"/>
    <xf numFmtId="0" fontId="6" fillId="13" borderId="0" xfId="0" applyFont="1" applyFill="1" applyAlignment="1" applyProtection="1">
      <alignment horizontal="centerContinuous"/>
    </xf>
    <xf numFmtId="0" fontId="7" fillId="13" borderId="0" xfId="0" applyFont="1" applyFill="1" applyAlignment="1" applyProtection="1">
      <alignment horizontal="centerContinuous"/>
    </xf>
    <xf numFmtId="0" fontId="6" fillId="13" borderId="9" xfId="0" applyFont="1" applyFill="1" applyBorder="1" applyProtection="1"/>
    <xf numFmtId="0" fontId="6" fillId="13" borderId="50" xfId="0" applyFont="1" applyFill="1" applyBorder="1" applyAlignment="1" applyProtection="1">
      <alignment horizontal="center"/>
    </xf>
    <xf numFmtId="0" fontId="6" fillId="13" borderId="51" xfId="0" applyFont="1" applyFill="1" applyBorder="1" applyAlignment="1" applyProtection="1">
      <alignment horizontal="center"/>
    </xf>
    <xf numFmtId="0" fontId="6" fillId="13" borderId="60" xfId="0" applyFont="1" applyFill="1" applyBorder="1" applyAlignment="1" applyProtection="1">
      <alignment horizontal="center"/>
    </xf>
    <xf numFmtId="0" fontId="7" fillId="13" borderId="38" xfId="0" applyFont="1" applyFill="1" applyBorder="1" applyProtection="1"/>
    <xf numFmtId="0" fontId="7" fillId="17" borderId="50" xfId="0" applyFont="1" applyFill="1" applyBorder="1" applyAlignment="1" applyProtection="1">
      <alignment horizontal="center"/>
    </xf>
    <xf numFmtId="0" fontId="7" fillId="17" borderId="51" xfId="0" applyFont="1" applyFill="1" applyBorder="1" applyAlignment="1" applyProtection="1">
      <alignment horizontal="center"/>
    </xf>
    <xf numFmtId="0" fontId="7" fillId="13" borderId="61" xfId="0" applyFont="1" applyFill="1" applyBorder="1" applyProtection="1"/>
    <xf numFmtId="167" fontId="7" fillId="13" borderId="50" xfId="0" applyNumberFormat="1" applyFont="1" applyFill="1" applyBorder="1" applyAlignment="1" applyProtection="1">
      <alignment horizontal="center"/>
    </xf>
    <xf numFmtId="167" fontId="7" fillId="13" borderId="51" xfId="0" applyNumberFormat="1" applyFont="1" applyFill="1" applyBorder="1" applyAlignment="1" applyProtection="1">
      <alignment horizontal="center"/>
    </xf>
    <xf numFmtId="167" fontId="7" fillId="13" borderId="60" xfId="0" applyNumberFormat="1" applyFont="1" applyFill="1" applyBorder="1" applyAlignment="1" applyProtection="1">
      <alignment horizontal="center"/>
    </xf>
    <xf numFmtId="0" fontId="7" fillId="17" borderId="38" xfId="0" applyFont="1" applyFill="1" applyBorder="1" applyAlignment="1" applyProtection="1">
      <alignment horizontal="center"/>
    </xf>
    <xf numFmtId="0" fontId="7" fillId="17" borderId="0" xfId="0" applyFont="1" applyFill="1" applyBorder="1" applyAlignment="1" applyProtection="1">
      <alignment horizontal="center"/>
    </xf>
    <xf numFmtId="167" fontId="7" fillId="13" borderId="38" xfId="0" applyNumberFormat="1" applyFont="1" applyFill="1" applyBorder="1" applyAlignment="1" applyProtection="1">
      <alignment horizontal="center"/>
    </xf>
    <xf numFmtId="167" fontId="7" fillId="13" borderId="0" xfId="0" applyNumberFormat="1" applyFont="1" applyFill="1" applyBorder="1" applyAlignment="1" applyProtection="1">
      <alignment horizontal="center"/>
    </xf>
    <xf numFmtId="167" fontId="7" fillId="13" borderId="39" xfId="0" applyNumberFormat="1" applyFont="1" applyFill="1" applyBorder="1" applyAlignment="1" applyProtection="1">
      <alignment horizontal="center"/>
    </xf>
    <xf numFmtId="0" fontId="7" fillId="13" borderId="48" xfId="0" applyFont="1" applyFill="1" applyBorder="1" applyProtection="1"/>
    <xf numFmtId="0" fontId="7" fillId="17" borderId="48" xfId="0" applyFont="1" applyFill="1" applyBorder="1" applyAlignment="1" applyProtection="1">
      <alignment horizontal="center"/>
    </xf>
    <xf numFmtId="0" fontId="7" fillId="17" borderId="5" xfId="0" applyFont="1" applyFill="1" applyBorder="1" applyAlignment="1" applyProtection="1">
      <alignment horizontal="center"/>
    </xf>
    <xf numFmtId="0" fontId="7" fillId="13" borderId="62" xfId="0" applyFont="1" applyFill="1" applyBorder="1" applyProtection="1"/>
    <xf numFmtId="167" fontId="7" fillId="13" borderId="48" xfId="0" applyNumberFormat="1" applyFont="1" applyFill="1" applyBorder="1" applyAlignment="1" applyProtection="1">
      <alignment horizontal="center"/>
    </xf>
    <xf numFmtId="167" fontId="7" fillId="13" borderId="5" xfId="0" applyNumberFormat="1" applyFont="1" applyFill="1" applyBorder="1" applyAlignment="1" applyProtection="1">
      <alignment horizontal="center"/>
    </xf>
    <xf numFmtId="167" fontId="7" fillId="13" borderId="63" xfId="0" applyNumberFormat="1" applyFont="1" applyFill="1" applyBorder="1" applyAlignment="1" applyProtection="1">
      <alignment horizontal="center"/>
    </xf>
    <xf numFmtId="0" fontId="7" fillId="13" borderId="5" xfId="0" applyFont="1" applyFill="1" applyBorder="1" applyProtection="1"/>
    <xf numFmtId="0" fontId="7" fillId="15" borderId="2" xfId="0" applyFont="1" applyFill="1" applyBorder="1" applyProtection="1"/>
    <xf numFmtId="9" fontId="6" fillId="15" borderId="9" xfId="0" applyNumberFormat="1" applyFont="1" applyFill="1" applyBorder="1" applyAlignment="1" applyProtection="1">
      <alignment horizontal="center"/>
      <protection locked="0"/>
    </xf>
    <xf numFmtId="0" fontId="0" fillId="13" borderId="0" xfId="0" applyFill="1" applyAlignment="1" applyProtection="1">
      <alignment wrapText="1"/>
    </xf>
    <xf numFmtId="0" fontId="4" fillId="6" borderId="0" xfId="0" applyFont="1" applyFill="1" applyAlignment="1" applyProtection="1">
      <alignment textRotation="90" wrapText="1"/>
    </xf>
    <xf numFmtId="0" fontId="15" fillId="4" borderId="6" xfId="0" applyFont="1" applyFill="1" applyBorder="1" applyAlignment="1" applyProtection="1">
      <alignment horizontal="centerContinuous" wrapText="1"/>
    </xf>
    <xf numFmtId="0" fontId="16" fillId="4" borderId="7" xfId="0" applyFont="1" applyFill="1" applyBorder="1" applyAlignment="1" applyProtection="1">
      <alignment horizontal="centerContinuous" wrapText="1"/>
    </xf>
    <xf numFmtId="0" fontId="15" fillId="4" borderId="7" xfId="0" applyFont="1" applyFill="1" applyBorder="1" applyAlignment="1" applyProtection="1">
      <alignment horizontal="centerContinuous" wrapText="1"/>
    </xf>
    <xf numFmtId="0" fontId="15" fillId="4" borderId="8" xfId="0" applyFont="1" applyFill="1" applyBorder="1" applyAlignment="1" applyProtection="1">
      <alignment horizontal="centerContinuous" wrapText="1"/>
    </xf>
    <xf numFmtId="0" fontId="15" fillId="5" borderId="6" xfId="0" applyFont="1" applyFill="1" applyBorder="1" applyAlignment="1" applyProtection="1">
      <alignment horizontal="centerContinuous" wrapText="1"/>
    </xf>
    <xf numFmtId="0" fontId="16" fillId="5" borderId="7" xfId="0" applyFont="1" applyFill="1" applyBorder="1" applyAlignment="1" applyProtection="1">
      <alignment horizontal="centerContinuous" wrapText="1"/>
    </xf>
    <xf numFmtId="0" fontId="15" fillId="5" borderId="7" xfId="0" applyFont="1" applyFill="1" applyBorder="1" applyAlignment="1" applyProtection="1">
      <alignment horizontal="centerContinuous" wrapText="1"/>
    </xf>
    <xf numFmtId="0" fontId="15" fillId="5" borderId="8" xfId="0" applyFont="1" applyFill="1" applyBorder="1" applyAlignment="1" applyProtection="1">
      <alignment horizontal="centerContinuous" wrapText="1"/>
    </xf>
    <xf numFmtId="0" fontId="4" fillId="5" borderId="2" xfId="0" applyFont="1" applyFill="1" applyBorder="1" applyAlignment="1" applyProtection="1">
      <alignment textRotation="90" wrapText="1"/>
    </xf>
    <xf numFmtId="0" fontId="0" fillId="6" borderId="0" xfId="0" applyFill="1" applyAlignment="1" applyProtection="1">
      <alignment wrapText="1"/>
    </xf>
    <xf numFmtId="0" fontId="6" fillId="4" borderId="2" xfId="0" applyFont="1" applyFill="1" applyBorder="1" applyProtection="1"/>
    <xf numFmtId="0" fontId="6" fillId="5" borderId="2" xfId="0" applyFont="1" applyFill="1" applyBorder="1" applyProtection="1"/>
    <xf numFmtId="0" fontId="12" fillId="6" borderId="10" xfId="0" applyFont="1" applyFill="1" applyBorder="1" applyAlignment="1" applyProtection="1">
      <alignment wrapText="1"/>
    </xf>
    <xf numFmtId="0" fontId="7" fillId="6" borderId="3" xfId="0" applyFont="1" applyFill="1" applyBorder="1" applyProtection="1"/>
    <xf numFmtId="0" fontId="7" fillId="6" borderId="4" xfId="0" applyFont="1" applyFill="1" applyBorder="1" applyProtection="1"/>
    <xf numFmtId="0" fontId="7" fillId="5" borderId="2" xfId="0" applyFont="1" applyFill="1" applyBorder="1" applyProtection="1"/>
    <xf numFmtId="0" fontId="6" fillId="6" borderId="10" xfId="0" applyFont="1" applyFill="1" applyBorder="1" applyAlignment="1" applyProtection="1">
      <alignment wrapText="1"/>
    </xf>
    <xf numFmtId="0" fontId="0" fillId="15" borderId="2" xfId="0" applyFill="1" applyBorder="1" applyProtection="1">
      <protection locked="0"/>
    </xf>
    <xf numFmtId="0" fontId="5" fillId="15" borderId="2" xfId="0" applyFont="1" applyFill="1" applyBorder="1" applyProtection="1">
      <protection locked="0"/>
    </xf>
    <xf numFmtId="0" fontId="0" fillId="15" borderId="2" xfId="0" applyFill="1" applyBorder="1" applyAlignment="1" applyProtection="1">
      <alignment vertical="top" wrapText="1"/>
      <protection locked="0"/>
    </xf>
    <xf numFmtId="0" fontId="5" fillId="13" borderId="0" xfId="0" applyFont="1" applyFill="1" applyProtection="1"/>
    <xf numFmtId="0" fontId="6" fillId="13" borderId="5" xfId="0" applyFont="1" applyFill="1" applyBorder="1" applyAlignment="1" applyProtection="1">
      <alignment wrapText="1"/>
    </xf>
    <xf numFmtId="0" fontId="6" fillId="13" borderId="48" xfId="0" applyFont="1" applyFill="1" applyBorder="1" applyProtection="1"/>
    <xf numFmtId="0" fontId="6" fillId="13" borderId="63" xfId="0" applyFont="1" applyFill="1" applyBorder="1" applyAlignment="1" applyProtection="1">
      <alignment horizontal="center" wrapText="1"/>
    </xf>
    <xf numFmtId="0" fontId="7" fillId="13" borderId="0" xfId="0" applyFont="1" applyFill="1" applyAlignment="1" applyProtection="1">
      <alignment wrapText="1"/>
    </xf>
    <xf numFmtId="0" fontId="7" fillId="13" borderId="22" xfId="0" applyFont="1" applyFill="1" applyBorder="1" applyAlignment="1" applyProtection="1">
      <alignment horizontal="left" vertical="top" wrapText="1"/>
    </xf>
    <xf numFmtId="0" fontId="7" fillId="13" borderId="22" xfId="0" applyFont="1" applyFill="1" applyBorder="1" applyAlignment="1" applyProtection="1">
      <alignment wrapText="1"/>
    </xf>
    <xf numFmtId="10" fontId="7" fillId="17" borderId="19" xfId="0" applyNumberFormat="1" applyFont="1" applyFill="1" applyBorder="1" applyProtection="1"/>
    <xf numFmtId="0" fontId="7" fillId="13" borderId="2" xfId="0" applyFont="1" applyFill="1" applyBorder="1" applyAlignment="1" applyProtection="1">
      <alignment horizontal="left" vertical="top" wrapText="1"/>
    </xf>
    <xf numFmtId="0" fontId="7" fillId="13" borderId="2" xfId="0" applyFont="1" applyFill="1" applyBorder="1" applyAlignment="1" applyProtection="1">
      <alignment wrapText="1"/>
    </xf>
    <xf numFmtId="10" fontId="7" fillId="17" borderId="17" xfId="0" applyNumberFormat="1" applyFont="1" applyFill="1" applyBorder="1" applyProtection="1"/>
    <xf numFmtId="0" fontId="7" fillId="13" borderId="23" xfId="0" applyFont="1" applyFill="1" applyBorder="1" applyAlignment="1" applyProtection="1">
      <alignment wrapText="1"/>
    </xf>
    <xf numFmtId="10" fontId="7" fillId="17" borderId="20" xfId="0" applyNumberFormat="1" applyFont="1" applyFill="1" applyBorder="1" applyProtection="1"/>
    <xf numFmtId="0" fontId="7" fillId="13" borderId="0" xfId="0" applyFont="1" applyFill="1" applyBorder="1" applyAlignment="1" applyProtection="1">
      <alignment wrapText="1"/>
    </xf>
    <xf numFmtId="10" fontId="6" fillId="18" borderId="3" xfId="0" applyNumberFormat="1" applyFont="1" applyFill="1" applyBorder="1" applyAlignment="1" applyProtection="1">
      <alignment wrapText="1"/>
    </xf>
    <xf numFmtId="0" fontId="7" fillId="13" borderId="65" xfId="0" applyFont="1" applyFill="1" applyBorder="1" applyAlignment="1" applyProtection="1">
      <alignment vertical="top" wrapText="1"/>
    </xf>
    <xf numFmtId="0" fontId="7" fillId="13" borderId="3" xfId="0" applyFont="1" applyFill="1" applyBorder="1" applyAlignment="1" applyProtection="1">
      <alignment horizontal="left" vertical="top" wrapText="1"/>
    </xf>
    <xf numFmtId="0" fontId="7" fillId="13" borderId="22" xfId="0" applyFont="1" applyFill="1" applyBorder="1" applyAlignment="1" applyProtection="1">
      <alignment vertical="top" wrapText="1"/>
    </xf>
    <xf numFmtId="10" fontId="7" fillId="17" borderId="21" xfId="0" applyNumberFormat="1" applyFont="1" applyFill="1" applyBorder="1" applyProtection="1"/>
    <xf numFmtId="0" fontId="6" fillId="13" borderId="22" xfId="0" applyFont="1" applyFill="1" applyBorder="1" applyAlignment="1" applyProtection="1">
      <alignment vertical="top" wrapText="1"/>
    </xf>
    <xf numFmtId="0" fontId="7" fillId="13" borderId="2" xfId="0" applyFont="1" applyFill="1" applyBorder="1" applyAlignment="1" applyProtection="1">
      <alignment vertical="top" wrapText="1"/>
    </xf>
    <xf numFmtId="10" fontId="7" fillId="17" borderId="2" xfId="0" applyNumberFormat="1" applyFont="1" applyFill="1" applyBorder="1" applyProtection="1"/>
    <xf numFmtId="0" fontId="7" fillId="13" borderId="59" xfId="0" applyFont="1" applyFill="1" applyBorder="1" applyAlignment="1" applyProtection="1">
      <alignment wrapText="1"/>
    </xf>
    <xf numFmtId="10" fontId="7" fillId="17" borderId="22" xfId="0" applyNumberFormat="1" applyFont="1" applyFill="1" applyBorder="1" applyProtection="1"/>
    <xf numFmtId="0" fontId="6" fillId="13" borderId="21" xfId="0" applyFont="1" applyFill="1" applyBorder="1" applyAlignment="1" applyProtection="1">
      <alignment vertical="top" wrapText="1"/>
    </xf>
    <xf numFmtId="10" fontId="7" fillId="17" borderId="23" xfId="0" applyNumberFormat="1" applyFont="1" applyFill="1" applyBorder="1" applyProtection="1"/>
    <xf numFmtId="0" fontId="7" fillId="18" borderId="2" xfId="0" applyFont="1" applyFill="1" applyBorder="1" applyProtection="1"/>
    <xf numFmtId="167" fontId="7" fillId="15" borderId="24" xfId="0" applyNumberFormat="1" applyFont="1" applyFill="1" applyBorder="1" applyProtection="1">
      <protection locked="0"/>
    </xf>
    <xf numFmtId="167" fontId="7" fillId="15" borderId="25" xfId="0" applyNumberFormat="1" applyFont="1" applyFill="1" applyBorder="1" applyProtection="1">
      <protection locked="0"/>
    </xf>
    <xf numFmtId="167" fontId="7" fillId="15" borderId="26" xfId="0" applyNumberFormat="1" applyFont="1" applyFill="1" applyBorder="1" applyProtection="1">
      <protection locked="0"/>
    </xf>
    <xf numFmtId="167" fontId="7" fillId="15" borderId="27" xfId="0" applyNumberFormat="1" applyFont="1" applyFill="1" applyBorder="1" applyProtection="1">
      <protection locked="0"/>
    </xf>
    <xf numFmtId="167" fontId="7" fillId="15" borderId="68" xfId="0" applyNumberFormat="1" applyFont="1" applyFill="1" applyBorder="1" applyProtection="1">
      <protection locked="0"/>
    </xf>
    <xf numFmtId="0" fontId="29" fillId="13" borderId="0" xfId="0" applyFont="1" applyFill="1" applyBorder="1"/>
    <xf numFmtId="0" fontId="34" fillId="13" borderId="0" xfId="0" applyFont="1" applyFill="1" applyBorder="1"/>
    <xf numFmtId="1" fontId="7" fillId="13" borderId="0" xfId="0" applyNumberFormat="1" applyFont="1" applyFill="1" applyProtection="1"/>
    <xf numFmtId="1" fontId="6" fillId="13" borderId="0" xfId="0" applyNumberFormat="1" applyFont="1" applyFill="1" applyBorder="1" applyAlignment="1" applyProtection="1">
      <alignment horizontal="center" wrapText="1"/>
    </xf>
    <xf numFmtId="0" fontId="6" fillId="13" borderId="0" xfId="0" applyFont="1" applyFill="1" applyBorder="1" applyAlignment="1" applyProtection="1">
      <alignment wrapText="1"/>
    </xf>
    <xf numFmtId="0" fontId="6" fillId="13" borderId="5" xfId="0" applyFont="1" applyFill="1" applyBorder="1" applyProtection="1"/>
    <xf numFmtId="0" fontId="6" fillId="13" borderId="63" xfId="0" applyFont="1" applyFill="1" applyBorder="1" applyProtection="1"/>
    <xf numFmtId="0" fontId="6" fillId="13" borderId="0" xfId="0" applyFont="1" applyFill="1" applyBorder="1" applyProtection="1"/>
    <xf numFmtId="10" fontId="7" fillId="17" borderId="10" xfId="0" applyNumberFormat="1" applyFont="1" applyFill="1" applyBorder="1" applyProtection="1"/>
    <xf numFmtId="1" fontId="7" fillId="13" borderId="2" xfId="0" applyNumberFormat="1" applyFont="1" applyFill="1" applyBorder="1" applyProtection="1"/>
    <xf numFmtId="167" fontId="7" fillId="13" borderId="68" xfId="0" applyNumberFormat="1" applyFont="1" applyFill="1" applyBorder="1" applyProtection="1"/>
    <xf numFmtId="167" fontId="7" fillId="13" borderId="0" xfId="0" applyNumberFormat="1" applyFont="1" applyFill="1" applyBorder="1" applyProtection="1"/>
    <xf numFmtId="167" fontId="7" fillId="20" borderId="0" xfId="0" applyNumberFormat="1" applyFont="1" applyFill="1" applyBorder="1" applyProtection="1"/>
    <xf numFmtId="0" fontId="7" fillId="20" borderId="0" xfId="0" applyFont="1" applyFill="1" applyProtection="1"/>
    <xf numFmtId="1" fontId="7" fillId="20" borderId="0" xfId="0" applyNumberFormat="1" applyFont="1" applyFill="1" applyProtection="1"/>
    <xf numFmtId="9" fontId="7" fillId="20" borderId="0" xfId="4" applyFont="1" applyFill="1" applyProtection="1"/>
    <xf numFmtId="1" fontId="17" fillId="19" borderId="2" xfId="0" applyNumberFormat="1" applyFont="1" applyFill="1" applyBorder="1" applyProtection="1"/>
    <xf numFmtId="167" fontId="7" fillId="20" borderId="0" xfId="0" applyNumberFormat="1" applyFont="1" applyFill="1" applyProtection="1"/>
    <xf numFmtId="0" fontId="7" fillId="13" borderId="2" xfId="0" applyFont="1" applyFill="1" applyBorder="1" applyProtection="1"/>
    <xf numFmtId="0" fontId="7" fillId="13" borderId="11" xfId="0" applyFont="1" applyFill="1" applyBorder="1" applyAlignment="1" applyProtection="1">
      <alignment horizontal="left" vertical="top" wrapText="1"/>
    </xf>
    <xf numFmtId="10" fontId="7" fillId="13" borderId="10" xfId="0" applyNumberFormat="1" applyFont="1" applyFill="1" applyBorder="1" applyProtection="1"/>
    <xf numFmtId="10" fontId="7" fillId="13" borderId="28" xfId="0" applyNumberFormat="1" applyFont="1" applyFill="1" applyBorder="1" applyProtection="1"/>
    <xf numFmtId="10" fontId="7" fillId="17" borderId="28" xfId="0" applyNumberFormat="1" applyFont="1" applyFill="1" applyBorder="1" applyProtection="1"/>
    <xf numFmtId="1" fontId="7" fillId="13" borderId="23" xfId="0" applyNumberFormat="1" applyFont="1" applyFill="1" applyBorder="1" applyProtection="1"/>
    <xf numFmtId="167" fontId="7" fillId="13" borderId="27" xfId="0" applyNumberFormat="1" applyFont="1" applyFill="1" applyBorder="1" applyProtection="1"/>
    <xf numFmtId="10" fontId="7" fillId="17" borderId="29" xfId="0" applyNumberFormat="1" applyFont="1" applyFill="1" applyBorder="1" applyProtection="1"/>
    <xf numFmtId="0" fontId="6" fillId="13" borderId="0" xfId="0" applyFont="1" applyFill="1" applyAlignment="1" applyProtection="1">
      <alignment wrapText="1"/>
    </xf>
    <xf numFmtId="166" fontId="6" fillId="13" borderId="69" xfId="4" applyNumberFormat="1" applyFont="1" applyFill="1" applyBorder="1" applyProtection="1"/>
    <xf numFmtId="1" fontId="6" fillId="13" borderId="3" xfId="0" applyNumberFormat="1" applyFont="1" applyFill="1" applyBorder="1" applyProtection="1"/>
    <xf numFmtId="167" fontId="6" fillId="13" borderId="25" xfId="0" applyNumberFormat="1" applyFont="1" applyFill="1" applyBorder="1" applyProtection="1"/>
    <xf numFmtId="167" fontId="6" fillId="13" borderId="0" xfId="0" applyNumberFormat="1" applyFont="1" applyFill="1" applyBorder="1" applyProtection="1"/>
    <xf numFmtId="167" fontId="6" fillId="13" borderId="0" xfId="0" applyNumberFormat="1" applyFont="1" applyFill="1" applyProtection="1"/>
    <xf numFmtId="167" fontId="6" fillId="20" borderId="0" xfId="0" applyNumberFormat="1" applyFont="1" applyFill="1" applyBorder="1" applyProtection="1"/>
    <xf numFmtId="167" fontId="6" fillId="20" borderId="0" xfId="0" applyNumberFormat="1" applyFont="1" applyFill="1" applyProtection="1"/>
    <xf numFmtId="10" fontId="7" fillId="13" borderId="38" xfId="0" applyNumberFormat="1" applyFont="1" applyFill="1" applyBorder="1" applyProtection="1"/>
    <xf numFmtId="1" fontId="7" fillId="13" borderId="0" xfId="0" applyNumberFormat="1" applyFont="1" applyFill="1" applyBorder="1" applyProtection="1"/>
    <xf numFmtId="0" fontId="7" fillId="13" borderId="39" xfId="0" applyFont="1" applyFill="1" applyBorder="1" applyProtection="1"/>
    <xf numFmtId="0" fontId="7" fillId="13" borderId="29" xfId="0" applyFont="1" applyFill="1" applyBorder="1" applyProtection="1"/>
    <xf numFmtId="0" fontId="7" fillId="13" borderId="63" xfId="0" applyFont="1" applyFill="1" applyBorder="1" applyProtection="1"/>
    <xf numFmtId="1" fontId="0" fillId="13" borderId="0" xfId="0" applyNumberFormat="1" applyFill="1" applyProtection="1"/>
    <xf numFmtId="0" fontId="7" fillId="8" borderId="2" xfId="0" applyFont="1" applyFill="1" applyBorder="1" applyProtection="1"/>
    <xf numFmtId="0" fontId="7" fillId="9" borderId="2" xfId="0" applyFont="1" applyFill="1" applyBorder="1" applyProtection="1"/>
    <xf numFmtId="0" fontId="4" fillId="13" borderId="0" xfId="0" applyFont="1" applyFill="1" applyAlignment="1" applyProtection="1">
      <alignment wrapText="1"/>
    </xf>
    <xf numFmtId="0" fontId="1" fillId="15" borderId="2" xfId="0" applyFont="1" applyFill="1" applyBorder="1" applyProtection="1">
      <protection locked="0"/>
    </xf>
    <xf numFmtId="0" fontId="1" fillId="0" borderId="0" xfId="0" applyFont="1" applyProtection="1"/>
    <xf numFmtId="1" fontId="7" fillId="17" borderId="2" xfId="0" applyNumberFormat="1" applyFont="1" applyFill="1" applyBorder="1" applyProtection="1"/>
    <xf numFmtId="0" fontId="7" fillId="13" borderId="11" xfId="0" applyFont="1" applyFill="1" applyBorder="1" applyAlignment="1" applyProtection="1">
      <alignment wrapText="1"/>
    </xf>
    <xf numFmtId="10" fontId="7" fillId="17" borderId="4" xfId="0" applyNumberFormat="1" applyFont="1" applyFill="1" applyBorder="1" applyProtection="1"/>
    <xf numFmtId="0" fontId="36" fillId="13" borderId="2" xfId="0" applyFont="1" applyFill="1" applyBorder="1" applyAlignment="1" applyProtection="1">
      <alignment wrapText="1"/>
    </xf>
    <xf numFmtId="167" fontId="7" fillId="15" borderId="79" xfId="0" applyNumberFormat="1" applyFont="1" applyFill="1" applyBorder="1" applyProtection="1">
      <protection locked="0"/>
    </xf>
    <xf numFmtId="0" fontId="36" fillId="13" borderId="23" xfId="0" applyFont="1" applyFill="1" applyBorder="1" applyAlignment="1" applyProtection="1">
      <alignment wrapText="1"/>
    </xf>
    <xf numFmtId="0" fontId="36" fillId="13" borderId="59" xfId="0" applyFont="1" applyFill="1" applyBorder="1" applyAlignment="1" applyProtection="1">
      <alignment wrapText="1"/>
    </xf>
    <xf numFmtId="0" fontId="7" fillId="13" borderId="13" xfId="0" applyFont="1" applyFill="1" applyBorder="1" applyAlignment="1" applyProtection="1">
      <alignment wrapText="1"/>
    </xf>
    <xf numFmtId="0" fontId="7" fillId="13" borderId="4" xfId="0" applyFont="1" applyFill="1" applyBorder="1" applyAlignment="1" applyProtection="1">
      <alignment vertical="top" wrapText="1"/>
    </xf>
    <xf numFmtId="0" fontId="7" fillId="13" borderId="3" xfId="0" applyFont="1" applyFill="1" applyBorder="1" applyAlignment="1" applyProtection="1">
      <alignment vertical="top" wrapText="1"/>
    </xf>
    <xf numFmtId="0" fontId="7" fillId="13" borderId="3" xfId="0" applyFont="1" applyFill="1" applyBorder="1" applyAlignment="1" applyProtection="1">
      <alignment wrapText="1"/>
    </xf>
    <xf numFmtId="0" fontId="36" fillId="13" borderId="22" xfId="0" applyFont="1" applyFill="1" applyBorder="1" applyAlignment="1" applyProtection="1">
      <alignment wrapText="1"/>
    </xf>
    <xf numFmtId="10" fontId="7" fillId="17" borderId="13" xfId="0" applyNumberFormat="1" applyFont="1" applyFill="1" applyBorder="1" applyProtection="1"/>
    <xf numFmtId="0" fontId="1" fillId="15" borderId="2" xfId="0" applyFont="1" applyFill="1" applyBorder="1" applyAlignment="1" applyProtection="1">
      <alignment wrapText="1"/>
      <protection locked="0"/>
    </xf>
    <xf numFmtId="0" fontId="7" fillId="13" borderId="3" xfId="0" applyFont="1" applyFill="1" applyBorder="1" applyAlignment="1" applyProtection="1">
      <alignment horizontal="left" vertical="top" wrapText="1"/>
    </xf>
    <xf numFmtId="10" fontId="6" fillId="18" borderId="2" xfId="0" applyNumberFormat="1" applyFont="1" applyFill="1" applyBorder="1" applyAlignment="1" applyProtection="1">
      <alignment wrapText="1"/>
    </xf>
    <xf numFmtId="0" fontId="6" fillId="13" borderId="9" xfId="0" applyFont="1" applyFill="1" applyBorder="1" applyAlignment="1" applyProtection="1">
      <alignment horizontal="center" wrapText="1"/>
    </xf>
    <xf numFmtId="0" fontId="6" fillId="13" borderId="9" xfId="0" applyFont="1" applyFill="1" applyBorder="1" applyAlignment="1" applyProtection="1">
      <alignment wrapText="1"/>
    </xf>
    <xf numFmtId="167" fontId="7" fillId="15" borderId="24" xfId="0" applyNumberFormat="1" applyFont="1" applyFill="1" applyBorder="1" applyAlignment="1" applyProtection="1">
      <alignment wrapText="1"/>
      <protection locked="0"/>
    </xf>
    <xf numFmtId="10" fontId="6" fillId="18" borderId="12" xfId="0" applyNumberFormat="1" applyFont="1" applyFill="1" applyBorder="1" applyAlignment="1" applyProtection="1">
      <alignment wrapText="1"/>
    </xf>
    <xf numFmtId="10" fontId="30" fillId="18" borderId="10" xfId="0" applyNumberFormat="1" applyFont="1" applyFill="1" applyBorder="1" applyAlignment="1" applyProtection="1">
      <alignment wrapText="1"/>
    </xf>
    <xf numFmtId="10" fontId="7" fillId="15" borderId="22" xfId="0" applyNumberFormat="1" applyFont="1" applyFill="1" applyBorder="1" applyProtection="1">
      <protection locked="0"/>
    </xf>
    <xf numFmtId="0" fontId="30" fillId="13" borderId="59" xfId="0" applyFont="1" applyFill="1" applyBorder="1" applyAlignment="1" applyProtection="1">
      <alignment horizontal="left" vertical="top" wrapText="1"/>
    </xf>
    <xf numFmtId="0" fontId="30" fillId="13" borderId="3" xfId="0" applyFont="1" applyFill="1" applyBorder="1" applyAlignment="1" applyProtection="1">
      <alignment horizontal="left" vertical="top" wrapText="1"/>
    </xf>
    <xf numFmtId="0" fontId="30" fillId="13" borderId="22" xfId="0" applyFont="1" applyFill="1" applyBorder="1" applyAlignment="1" applyProtection="1">
      <alignment horizontal="left" vertical="top" wrapText="1"/>
    </xf>
    <xf numFmtId="0" fontId="30" fillId="13" borderId="2" xfId="0" applyFont="1" applyFill="1" applyBorder="1" applyAlignment="1" applyProtection="1">
      <alignment horizontal="left" vertical="top" wrapText="1"/>
    </xf>
    <xf numFmtId="10" fontId="0" fillId="13" borderId="0" xfId="0" applyNumberFormat="1" applyFill="1" applyProtection="1"/>
    <xf numFmtId="0" fontId="6" fillId="13" borderId="2" xfId="0" applyFont="1" applyFill="1" applyBorder="1" applyAlignment="1" applyProtection="1">
      <alignment horizontal="left" wrapText="1"/>
    </xf>
    <xf numFmtId="0" fontId="6" fillId="13" borderId="2" xfId="0" applyFont="1" applyFill="1" applyBorder="1" applyAlignment="1" applyProtection="1">
      <alignment wrapText="1"/>
    </xf>
    <xf numFmtId="10" fontId="30" fillId="18" borderId="2" xfId="0" applyNumberFormat="1" applyFont="1" applyFill="1" applyBorder="1" applyAlignment="1" applyProtection="1">
      <alignment wrapText="1"/>
    </xf>
    <xf numFmtId="0" fontId="7" fillId="15" borderId="29" xfId="0" applyFont="1" applyFill="1" applyBorder="1" applyProtection="1">
      <protection locked="0"/>
    </xf>
    <xf numFmtId="0" fontId="7" fillId="15" borderId="12" xfId="0" applyFont="1" applyFill="1" applyBorder="1" applyAlignment="1" applyProtection="1">
      <alignment vertical="top" wrapText="1"/>
      <protection locked="0"/>
    </xf>
    <xf numFmtId="0" fontId="7" fillId="15" borderId="14" xfId="0" applyFont="1" applyFill="1" applyBorder="1" applyAlignment="1" applyProtection="1">
      <alignment vertical="top" wrapText="1"/>
      <protection locked="0"/>
    </xf>
    <xf numFmtId="0" fontId="7" fillId="15" borderId="10" xfId="0" applyFont="1" applyFill="1" applyBorder="1" applyAlignment="1" applyProtection="1">
      <alignment vertical="top" wrapText="1"/>
      <protection locked="0"/>
    </xf>
    <xf numFmtId="0" fontId="7" fillId="15" borderId="12" xfId="0" applyFont="1" applyFill="1" applyBorder="1" applyAlignment="1" applyProtection="1">
      <alignment vertical="top" wrapText="1"/>
      <protection locked="0"/>
    </xf>
    <xf numFmtId="0" fontId="7" fillId="15" borderId="14" xfId="0" applyFont="1" applyFill="1" applyBorder="1" applyAlignment="1" applyProtection="1">
      <alignment vertical="top" wrapText="1"/>
      <protection locked="0"/>
    </xf>
    <xf numFmtId="0" fontId="7" fillId="15" borderId="10" xfId="0" applyFont="1" applyFill="1" applyBorder="1" applyAlignment="1" applyProtection="1">
      <alignment vertical="top" wrapText="1"/>
      <protection locked="0"/>
    </xf>
    <xf numFmtId="0" fontId="6" fillId="15" borderId="2" xfId="0" applyFont="1" applyFill="1" applyBorder="1" applyAlignment="1" applyProtection="1">
      <alignment horizontal="left"/>
      <protection locked="0"/>
    </xf>
    <xf numFmtId="0" fontId="6" fillId="15" borderId="12" xfId="0" applyFont="1" applyFill="1" applyBorder="1" applyAlignment="1" applyProtection="1">
      <alignment horizontal="left" vertical="top"/>
      <protection locked="0"/>
    </xf>
    <xf numFmtId="0" fontId="6" fillId="15" borderId="14" xfId="0" applyFont="1" applyFill="1" applyBorder="1" applyAlignment="1" applyProtection="1">
      <alignment horizontal="left" vertical="top"/>
      <protection locked="0"/>
    </xf>
    <xf numFmtId="0" fontId="6" fillId="15" borderId="10" xfId="0" applyFont="1" applyFill="1" applyBorder="1" applyAlignment="1" applyProtection="1">
      <alignment horizontal="left" vertical="top"/>
      <protection locked="0"/>
    </xf>
    <xf numFmtId="0" fontId="3" fillId="0" borderId="0" xfId="0" applyFont="1" applyAlignment="1" applyProtection="1">
      <alignment horizontal="left" wrapText="1"/>
    </xf>
    <xf numFmtId="0" fontId="7" fillId="0" borderId="0" xfId="0" applyFont="1" applyAlignment="1" applyProtection="1">
      <alignment horizontal="left" wrapText="1"/>
    </xf>
    <xf numFmtId="0" fontId="7" fillId="0" borderId="39" xfId="0" applyFont="1" applyBorder="1" applyAlignment="1" applyProtection="1">
      <alignment horizontal="left" wrapText="1"/>
    </xf>
    <xf numFmtId="14" fontId="6" fillId="15" borderId="2" xfId="0" applyNumberFormat="1" applyFont="1" applyFill="1" applyBorder="1" applyAlignment="1" applyProtection="1">
      <alignment horizontal="left"/>
      <protection locked="0"/>
    </xf>
    <xf numFmtId="0" fontId="6" fillId="14" borderId="40" xfId="0" applyFont="1" applyFill="1" applyBorder="1" applyAlignment="1" applyProtection="1">
      <alignment horizontal="center"/>
    </xf>
    <xf numFmtId="0" fontId="6" fillId="14" borderId="42" xfId="0" applyFont="1" applyFill="1" applyBorder="1" applyAlignment="1" applyProtection="1">
      <alignment horizontal="center"/>
    </xf>
    <xf numFmtId="0" fontId="6" fillId="14" borderId="71" xfId="0" applyFont="1" applyFill="1" applyBorder="1" applyAlignment="1" applyProtection="1">
      <alignment horizontal="center"/>
    </xf>
    <xf numFmtId="0" fontId="3" fillId="21" borderId="40" xfId="0" applyFont="1" applyFill="1" applyBorder="1" applyAlignment="1" applyProtection="1">
      <alignment horizontal="center" vertical="top" wrapText="1"/>
    </xf>
    <xf numFmtId="0" fontId="3" fillId="21" borderId="42" xfId="0" applyFont="1" applyFill="1" applyBorder="1" applyAlignment="1" applyProtection="1">
      <alignment horizontal="center" vertical="top" wrapText="1"/>
    </xf>
    <xf numFmtId="0" fontId="3" fillId="21" borderId="71" xfId="0" applyFont="1" applyFill="1" applyBorder="1" applyAlignment="1" applyProtection="1">
      <alignment horizontal="center" vertical="top" wrapText="1"/>
    </xf>
    <xf numFmtId="0" fontId="1" fillId="17" borderId="72" xfId="0" applyFont="1" applyFill="1" applyBorder="1" applyAlignment="1" applyProtection="1">
      <alignment horizontal="center" vertical="center"/>
    </xf>
    <xf numFmtId="0" fontId="1" fillId="17" borderId="61" xfId="0" applyFont="1" applyFill="1" applyBorder="1" applyAlignment="1" applyProtection="1">
      <alignment horizontal="center" vertical="center"/>
    </xf>
    <xf numFmtId="0" fontId="1" fillId="17" borderId="62" xfId="0" applyFont="1" applyFill="1" applyBorder="1" applyAlignment="1" applyProtection="1">
      <alignment horizontal="center" vertical="center"/>
    </xf>
    <xf numFmtId="0" fontId="4" fillId="13" borderId="72" xfId="0" applyFont="1" applyFill="1" applyBorder="1" applyAlignment="1" applyProtection="1">
      <alignment horizontal="center" vertical="center"/>
    </xf>
    <xf numFmtId="0" fontId="4" fillId="13" borderId="61" xfId="0" applyFont="1" applyFill="1" applyBorder="1" applyAlignment="1" applyProtection="1">
      <alignment horizontal="center" vertical="center"/>
    </xf>
    <xf numFmtId="0" fontId="4" fillId="13" borderId="62" xfId="0" applyFont="1" applyFill="1" applyBorder="1" applyAlignment="1" applyProtection="1">
      <alignment horizontal="center" vertical="center"/>
    </xf>
    <xf numFmtId="0" fontId="4" fillId="13" borderId="50" xfId="0" applyFont="1" applyFill="1" applyBorder="1" applyAlignment="1" applyProtection="1">
      <alignment horizontal="left" vertical="center"/>
    </xf>
    <xf numFmtId="0" fontId="4" fillId="13" borderId="65" xfId="0" applyFont="1" applyFill="1" applyBorder="1" applyAlignment="1" applyProtection="1">
      <alignment horizontal="left" vertical="center"/>
    </xf>
    <xf numFmtId="0" fontId="4" fillId="13" borderId="38" xfId="0" applyFont="1" applyFill="1" applyBorder="1" applyAlignment="1" applyProtection="1">
      <alignment horizontal="left" vertical="center"/>
    </xf>
    <xf numFmtId="0" fontId="4" fillId="13" borderId="4" xfId="0" applyFont="1" applyFill="1" applyBorder="1" applyAlignment="1" applyProtection="1">
      <alignment horizontal="left" vertical="center"/>
    </xf>
    <xf numFmtId="0" fontId="4" fillId="13" borderId="48" xfId="0" applyFont="1" applyFill="1" applyBorder="1" applyAlignment="1" applyProtection="1">
      <alignment horizontal="left" vertical="center"/>
    </xf>
    <xf numFmtId="0" fontId="4" fillId="13" borderId="20" xfId="0" applyFont="1" applyFill="1" applyBorder="1" applyAlignment="1" applyProtection="1">
      <alignment horizontal="left" vertical="center"/>
    </xf>
    <xf numFmtId="0" fontId="3" fillId="13" borderId="40" xfId="0" applyFont="1" applyFill="1" applyBorder="1" applyAlignment="1" applyProtection="1">
      <alignment horizontal="center" vertical="center"/>
    </xf>
    <xf numFmtId="0" fontId="3" fillId="13" borderId="71" xfId="0" applyFont="1" applyFill="1" applyBorder="1" applyAlignment="1" applyProtection="1">
      <alignment horizontal="center" vertical="center"/>
    </xf>
    <xf numFmtId="0" fontId="4" fillId="13" borderId="52" xfId="0" applyFont="1" applyFill="1" applyBorder="1" applyAlignment="1" applyProtection="1">
      <alignment horizontal="left" vertical="center"/>
    </xf>
    <xf numFmtId="0" fontId="4" fillId="13" borderId="10" xfId="0" applyFont="1" applyFill="1" applyBorder="1" applyAlignment="1" applyProtection="1">
      <alignment horizontal="left" vertical="center"/>
    </xf>
    <xf numFmtId="0" fontId="14" fillId="13" borderId="43" xfId="0" applyFont="1" applyFill="1" applyBorder="1" applyAlignment="1" applyProtection="1">
      <alignment horizontal="left" vertical="center"/>
    </xf>
    <xf numFmtId="0" fontId="14" fillId="13" borderId="19" xfId="0" applyFont="1" applyFill="1" applyBorder="1" applyProtection="1"/>
    <xf numFmtId="0" fontId="4" fillId="13" borderId="10" xfId="0" applyFont="1" applyFill="1" applyBorder="1" applyProtection="1"/>
    <xf numFmtId="0" fontId="4" fillId="13" borderId="40" xfId="0" applyFont="1" applyFill="1" applyBorder="1" applyAlignment="1" applyProtection="1">
      <alignment horizontal="left" vertical="center"/>
    </xf>
    <xf numFmtId="0" fontId="4" fillId="13" borderId="73" xfId="0" applyFont="1" applyFill="1" applyBorder="1" applyAlignment="1" applyProtection="1">
      <alignment horizontal="left" vertical="center"/>
    </xf>
    <xf numFmtId="0" fontId="4" fillId="13" borderId="41" xfId="0" applyFont="1" applyFill="1" applyBorder="1" applyAlignment="1" applyProtection="1">
      <alignment horizontal="left" vertical="center"/>
    </xf>
    <xf numFmtId="0" fontId="4" fillId="13" borderId="72" xfId="0" applyFont="1" applyFill="1" applyBorder="1" applyAlignment="1" applyProtection="1">
      <alignment horizontal="left" vertical="center"/>
    </xf>
    <xf numFmtId="0" fontId="4" fillId="13" borderId="61" xfId="0" applyFont="1" applyFill="1" applyBorder="1" applyAlignment="1" applyProtection="1">
      <alignment horizontal="left" vertical="center"/>
    </xf>
    <xf numFmtId="0" fontId="4" fillId="13" borderId="62" xfId="0" applyFont="1" applyFill="1" applyBorder="1" applyAlignment="1" applyProtection="1">
      <alignment horizontal="left" vertical="center"/>
    </xf>
    <xf numFmtId="0" fontId="4" fillId="13" borderId="43" xfId="0" applyFont="1" applyFill="1" applyBorder="1" applyAlignment="1" applyProtection="1">
      <alignment horizontal="left" vertical="center"/>
    </xf>
    <xf numFmtId="0" fontId="4" fillId="13" borderId="19" xfId="0" applyFont="1" applyFill="1" applyBorder="1" applyAlignment="1" applyProtection="1">
      <alignment horizontal="left" vertical="center"/>
    </xf>
    <xf numFmtId="0" fontId="4" fillId="13" borderId="45" xfId="0" applyFont="1" applyFill="1" applyBorder="1" applyAlignment="1" applyProtection="1">
      <alignment horizontal="left" vertical="center"/>
    </xf>
    <xf numFmtId="0" fontId="4" fillId="13" borderId="21" xfId="0" applyFont="1" applyFill="1" applyBorder="1" applyAlignment="1" applyProtection="1">
      <alignment horizontal="left" vertical="center"/>
    </xf>
    <xf numFmtId="0" fontId="0" fillId="13" borderId="61" xfId="0" applyFill="1" applyBorder="1" applyProtection="1"/>
    <xf numFmtId="0" fontId="0" fillId="13" borderId="62" xfId="0" applyFill="1" applyBorder="1" applyProtection="1"/>
    <xf numFmtId="0" fontId="7" fillId="15" borderId="12" xfId="0" applyFont="1" applyFill="1" applyBorder="1" applyAlignment="1" applyProtection="1">
      <alignment vertical="top" wrapText="1"/>
      <protection locked="0"/>
    </xf>
    <xf numFmtId="0" fontId="7" fillId="15" borderId="14" xfId="0" applyFont="1" applyFill="1" applyBorder="1" applyAlignment="1" applyProtection="1">
      <alignment vertical="top" wrapText="1"/>
      <protection locked="0"/>
    </xf>
    <xf numFmtId="0" fontId="7" fillId="15" borderId="10" xfId="0" applyFont="1" applyFill="1" applyBorder="1" applyAlignment="1" applyProtection="1">
      <alignment vertical="top" wrapText="1"/>
      <protection locked="0"/>
    </xf>
    <xf numFmtId="0" fontId="6" fillId="13" borderId="0" xfId="0" applyFont="1" applyFill="1" applyBorder="1" applyAlignment="1" applyProtection="1">
      <alignment horizontal="left"/>
      <protection locked="0"/>
    </xf>
    <xf numFmtId="0" fontId="6" fillId="13" borderId="0" xfId="0" applyFont="1" applyFill="1" applyBorder="1" applyAlignment="1">
      <alignment horizontal="left"/>
    </xf>
    <xf numFmtId="0" fontId="0" fillId="13" borderId="0" xfId="0" applyFill="1" applyBorder="1" applyAlignment="1">
      <alignment horizontal="left"/>
    </xf>
    <xf numFmtId="0" fontId="6" fillId="6" borderId="0" xfId="0" applyFont="1" applyFill="1" applyBorder="1" applyAlignment="1">
      <alignment vertical="top" wrapText="1"/>
    </xf>
    <xf numFmtId="0" fontId="5" fillId="13" borderId="0" xfId="0" applyFont="1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2" fontId="6" fillId="5" borderId="12" xfId="0" applyNumberFormat="1" applyFon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3" fillId="10" borderId="0" xfId="0" applyFont="1" applyFill="1" applyBorder="1" applyAlignment="1" applyProtection="1">
      <alignment horizontal="left" vertical="center" wrapText="1"/>
    </xf>
    <xf numFmtId="0" fontId="18" fillId="22" borderId="0" xfId="0" applyFont="1" applyFill="1" applyAlignment="1">
      <alignment horizontal="left"/>
    </xf>
    <xf numFmtId="0" fontId="0" fillId="0" borderId="0" xfId="0" applyAlignment="1">
      <alignment horizontal="left"/>
    </xf>
    <xf numFmtId="170" fontId="6" fillId="13" borderId="12" xfId="4" applyNumberFormat="1" applyFont="1" applyFill="1" applyBorder="1" applyAlignment="1" applyProtection="1">
      <alignment horizontal="center"/>
    </xf>
    <xf numFmtId="0" fontId="6" fillId="13" borderId="10" xfId="0" applyFont="1" applyFill="1" applyBorder="1" applyAlignment="1">
      <alignment horizontal="center"/>
    </xf>
    <xf numFmtId="2" fontId="4" fillId="21" borderId="12" xfId="0" applyNumberFormat="1" applyFont="1" applyFill="1" applyBorder="1" applyAlignment="1">
      <alignment horizontal="center"/>
    </xf>
    <xf numFmtId="0" fontId="8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12" fillId="15" borderId="12" xfId="0" applyFont="1" applyFill="1" applyBorder="1" applyAlignment="1" applyProtection="1">
      <alignment vertical="top" wrapText="1"/>
      <protection locked="0"/>
    </xf>
    <xf numFmtId="0" fontId="12" fillId="15" borderId="14" xfId="0" applyFont="1" applyFill="1" applyBorder="1" applyAlignment="1" applyProtection="1">
      <alignment vertical="top" wrapText="1"/>
      <protection locked="0"/>
    </xf>
    <xf numFmtId="0" fontId="12" fillId="15" borderId="10" xfId="0" applyFont="1" applyFill="1" applyBorder="1" applyAlignment="1" applyProtection="1">
      <alignment vertical="top" wrapText="1"/>
      <protection locked="0"/>
    </xf>
    <xf numFmtId="0" fontId="12" fillId="6" borderId="12" xfId="0" applyFont="1" applyFill="1" applyBorder="1" applyAlignment="1" applyProtection="1">
      <alignment horizontal="center" vertical="top" wrapText="1"/>
    </xf>
    <xf numFmtId="0" fontId="12" fillId="6" borderId="14" xfId="0" applyFont="1" applyFill="1" applyBorder="1" applyAlignment="1" applyProtection="1">
      <alignment horizontal="center" vertical="top" wrapText="1"/>
    </xf>
    <xf numFmtId="0" fontId="12" fillId="6" borderId="10" xfId="0" applyFont="1" applyFill="1" applyBorder="1" applyAlignment="1" applyProtection="1">
      <alignment horizontal="center" vertical="top" wrapText="1"/>
    </xf>
    <xf numFmtId="0" fontId="0" fillId="13" borderId="10" xfId="0" applyFill="1" applyBorder="1" applyAlignment="1"/>
    <xf numFmtId="0" fontId="0" fillId="13" borderId="0" xfId="0" applyFill="1" applyBorder="1" applyAlignment="1"/>
    <xf numFmtId="170" fontId="6" fillId="13" borderId="0" xfId="4" applyNumberFormat="1" applyFont="1" applyFill="1" applyBorder="1" applyAlignment="1" applyProtection="1">
      <alignment horizontal="center"/>
    </xf>
    <xf numFmtId="0" fontId="6" fillId="13" borderId="0" xfId="0" applyFont="1" applyFill="1" applyBorder="1" applyAlignment="1">
      <alignment horizontal="center"/>
    </xf>
    <xf numFmtId="0" fontId="15" fillId="4" borderId="6" xfId="0" applyFont="1" applyFill="1" applyBorder="1" applyAlignment="1" applyProtection="1">
      <alignment horizontal="center" wrapText="1"/>
    </xf>
    <xf numFmtId="0" fontId="16" fillId="4" borderId="7" xfId="0" applyFont="1" applyFill="1" applyBorder="1" applyAlignment="1" applyProtection="1">
      <alignment horizontal="center" wrapText="1"/>
    </xf>
    <xf numFmtId="0" fontId="16" fillId="4" borderId="8" xfId="0" applyFont="1" applyFill="1" applyBorder="1" applyAlignment="1" applyProtection="1">
      <alignment horizontal="center" wrapText="1"/>
    </xf>
    <xf numFmtId="0" fontId="15" fillId="5" borderId="6" xfId="0" applyFont="1" applyFill="1" applyBorder="1" applyAlignment="1" applyProtection="1">
      <alignment horizontal="center" wrapText="1"/>
    </xf>
    <xf numFmtId="0" fontId="16" fillId="5" borderId="7" xfId="0" applyFont="1" applyFill="1" applyBorder="1" applyAlignment="1" applyProtection="1">
      <alignment horizontal="center" wrapText="1"/>
    </xf>
    <xf numFmtId="0" fontId="16" fillId="5" borderId="8" xfId="0" applyFont="1" applyFill="1" applyBorder="1" applyAlignment="1" applyProtection="1">
      <alignment horizontal="center" wrapText="1"/>
    </xf>
    <xf numFmtId="0" fontId="15" fillId="4" borderId="12" xfId="0" applyFont="1" applyFill="1" applyBorder="1" applyAlignment="1" applyProtection="1">
      <alignment horizontal="center" wrapText="1"/>
    </xf>
    <xf numFmtId="0" fontId="15" fillId="4" borderId="14" xfId="0" applyFont="1" applyFill="1" applyBorder="1" applyAlignment="1" applyProtection="1">
      <alignment horizontal="center" wrapText="1"/>
    </xf>
    <xf numFmtId="0" fontId="15" fillId="4" borderId="10" xfId="0" applyFont="1" applyFill="1" applyBorder="1" applyAlignment="1" applyProtection="1">
      <alignment horizontal="center" wrapText="1"/>
    </xf>
    <xf numFmtId="0" fontId="15" fillId="5" borderId="12" xfId="0" applyFont="1" applyFill="1" applyBorder="1" applyAlignment="1" applyProtection="1">
      <alignment horizontal="center" wrapText="1"/>
    </xf>
    <xf numFmtId="0" fontId="15" fillId="5" borderId="14" xfId="0" applyFont="1" applyFill="1" applyBorder="1" applyAlignment="1" applyProtection="1">
      <alignment horizontal="center" wrapText="1"/>
    </xf>
    <xf numFmtId="0" fontId="15" fillId="5" borderId="10" xfId="0" applyFont="1" applyFill="1" applyBorder="1" applyAlignment="1" applyProtection="1">
      <alignment horizontal="center" wrapText="1"/>
    </xf>
    <xf numFmtId="0" fontId="7" fillId="11" borderId="2" xfId="0" applyFont="1" applyFill="1" applyBorder="1" applyAlignment="1">
      <alignment vertical="top"/>
    </xf>
    <xf numFmtId="0" fontId="3" fillId="10" borderId="74" xfId="0" applyFont="1" applyFill="1" applyBorder="1" applyAlignment="1" applyProtection="1">
      <alignment horizontal="center" vertical="top" wrapText="1"/>
    </xf>
    <xf numFmtId="0" fontId="3" fillId="10" borderId="75" xfId="0" applyFont="1" applyFill="1" applyBorder="1" applyAlignment="1" applyProtection="1">
      <alignment horizontal="center" vertical="top" wrapText="1"/>
    </xf>
    <xf numFmtId="0" fontId="3" fillId="10" borderId="76" xfId="0" applyFont="1" applyFill="1" applyBorder="1" applyAlignment="1" applyProtection="1">
      <alignment horizontal="center" vertical="top" wrapText="1"/>
    </xf>
    <xf numFmtId="0" fontId="3" fillId="6" borderId="0" xfId="0" applyFont="1" applyFill="1" applyBorder="1" applyAlignment="1">
      <alignment horizontal="center" wrapText="1"/>
    </xf>
    <xf numFmtId="0" fontId="3" fillId="6" borderId="0" xfId="0" applyFont="1" applyFill="1" applyAlignment="1" applyProtection="1">
      <alignment horizontal="center"/>
    </xf>
    <xf numFmtId="0" fontId="2" fillId="6" borderId="0" xfId="0" applyFont="1" applyFill="1" applyAlignment="1" applyProtection="1">
      <alignment horizontal="center"/>
    </xf>
    <xf numFmtId="0" fontId="2" fillId="6" borderId="0" xfId="0" applyFont="1" applyFill="1" applyAlignment="1">
      <alignment horizontal="center"/>
    </xf>
    <xf numFmtId="0" fontId="11" fillId="13" borderId="0" xfId="0" applyFont="1" applyFill="1" applyAlignment="1" applyProtection="1">
      <alignment horizontal="left" vertical="top" wrapText="1"/>
    </xf>
    <xf numFmtId="0" fontId="6" fillId="13" borderId="66" xfId="0" applyFont="1" applyFill="1" applyBorder="1" applyAlignment="1" applyProtection="1">
      <alignment horizontal="left" vertical="top" wrapText="1"/>
    </xf>
    <xf numFmtId="0" fontId="6" fillId="13" borderId="77" xfId="0" applyFont="1" applyFill="1" applyBorder="1" applyAlignment="1" applyProtection="1">
      <alignment horizontal="left" vertical="top" wrapText="1"/>
    </xf>
    <xf numFmtId="0" fontId="6" fillId="13" borderId="67" xfId="0" applyFont="1" applyFill="1" applyBorder="1" applyAlignment="1" applyProtection="1">
      <alignment horizontal="left" vertical="top" wrapText="1"/>
    </xf>
    <xf numFmtId="0" fontId="6" fillId="13" borderId="66" xfId="0" applyFont="1" applyFill="1" applyBorder="1" applyAlignment="1" applyProtection="1">
      <alignment horizontal="center" vertical="top" wrapText="1"/>
    </xf>
    <xf numFmtId="0" fontId="6" fillId="13" borderId="77" xfId="0" applyFont="1" applyFill="1" applyBorder="1" applyAlignment="1" applyProtection="1">
      <alignment horizontal="center" vertical="top" wrapText="1"/>
    </xf>
    <xf numFmtId="0" fontId="6" fillId="13" borderId="67" xfId="0" applyFont="1" applyFill="1" applyBorder="1" applyAlignment="1" applyProtection="1">
      <alignment horizontal="center" vertical="top" wrapText="1"/>
    </xf>
    <xf numFmtId="10" fontId="7" fillId="17" borderId="65" xfId="0" applyNumberFormat="1" applyFont="1" applyFill="1" applyBorder="1" applyAlignment="1" applyProtection="1">
      <alignment horizontal="right"/>
    </xf>
    <xf numFmtId="10" fontId="7" fillId="17" borderId="17" xfId="0" applyNumberFormat="1" applyFont="1" applyFill="1" applyBorder="1" applyAlignment="1" applyProtection="1">
      <alignment horizontal="right"/>
    </xf>
    <xf numFmtId="0" fontId="7" fillId="13" borderId="2" xfId="0" applyFont="1" applyFill="1" applyBorder="1" applyAlignment="1" applyProtection="1">
      <alignment horizontal="left" vertical="center" wrapText="1"/>
    </xf>
    <xf numFmtId="1" fontId="6" fillId="13" borderId="50" xfId="0" applyNumberFormat="1" applyFont="1" applyFill="1" applyBorder="1" applyAlignment="1" applyProtection="1">
      <alignment horizontal="center" wrapText="1"/>
    </xf>
    <xf numFmtId="1" fontId="6" fillId="13" borderId="51" xfId="0" applyNumberFormat="1" applyFont="1" applyFill="1" applyBorder="1" applyAlignment="1" applyProtection="1">
      <alignment horizontal="center" wrapText="1"/>
    </xf>
    <xf numFmtId="1" fontId="6" fillId="13" borderId="60" xfId="0" applyNumberFormat="1" applyFont="1" applyFill="1" applyBorder="1" applyAlignment="1" applyProtection="1">
      <alignment horizontal="center" wrapText="1"/>
    </xf>
    <xf numFmtId="1" fontId="7" fillId="13" borderId="64" xfId="0" applyNumberFormat="1" applyFont="1" applyFill="1" applyBorder="1" applyAlignment="1" applyProtection="1">
      <alignment horizontal="right"/>
    </xf>
    <xf numFmtId="1" fontId="7" fillId="13" borderId="3" xfId="0" applyNumberFormat="1" applyFont="1" applyFill="1" applyBorder="1" applyAlignment="1" applyProtection="1">
      <alignment horizontal="right"/>
    </xf>
    <xf numFmtId="167" fontId="7" fillId="13" borderId="78" xfId="0" applyNumberFormat="1" applyFont="1" applyFill="1" applyBorder="1" applyAlignment="1" applyProtection="1">
      <alignment horizontal="right"/>
    </xf>
    <xf numFmtId="167" fontId="7" fillId="13" borderId="25" xfId="0" applyNumberFormat="1" applyFont="1" applyFill="1" applyBorder="1" applyAlignment="1" applyProtection="1">
      <alignment horizontal="right"/>
    </xf>
    <xf numFmtId="1" fontId="6" fillId="13" borderId="38" xfId="0" applyNumberFormat="1" applyFont="1" applyFill="1" applyBorder="1" applyAlignment="1" applyProtection="1">
      <alignment horizontal="center" wrapText="1"/>
    </xf>
    <xf numFmtId="1" fontId="6" fillId="13" borderId="0" xfId="0" applyNumberFormat="1" applyFont="1" applyFill="1" applyBorder="1" applyAlignment="1" applyProtection="1">
      <alignment horizontal="center" wrapText="1"/>
    </xf>
    <xf numFmtId="1" fontId="7" fillId="13" borderId="11" xfId="0" applyNumberFormat="1" applyFont="1" applyFill="1" applyBorder="1" applyAlignment="1" applyProtection="1">
      <alignment horizontal="right"/>
    </xf>
    <xf numFmtId="10" fontId="7" fillId="17" borderId="11" xfId="0" applyNumberFormat="1" applyFont="1" applyFill="1" applyBorder="1" applyAlignment="1" applyProtection="1">
      <alignment horizontal="right"/>
    </xf>
    <xf numFmtId="10" fontId="7" fillId="17" borderId="3" xfId="0" applyNumberFormat="1" applyFont="1" applyFill="1" applyBorder="1" applyAlignment="1" applyProtection="1">
      <alignment horizontal="right"/>
    </xf>
    <xf numFmtId="10" fontId="7" fillId="15" borderId="11" xfId="0" applyNumberFormat="1" applyFont="1" applyFill="1" applyBorder="1" applyAlignment="1" applyProtection="1">
      <alignment horizontal="right"/>
      <protection locked="0"/>
    </xf>
    <xf numFmtId="10" fontId="7" fillId="15" borderId="3" xfId="0" applyNumberFormat="1" applyFont="1" applyFill="1" applyBorder="1" applyAlignment="1" applyProtection="1">
      <alignment horizontal="right"/>
      <protection locked="0"/>
    </xf>
    <xf numFmtId="0" fontId="7" fillId="13" borderId="11" xfId="0" applyFont="1" applyFill="1" applyBorder="1" applyAlignment="1" applyProtection="1">
      <alignment horizontal="left" vertical="top" wrapText="1"/>
    </xf>
    <xf numFmtId="0" fontId="7" fillId="13" borderId="3" xfId="0" applyFont="1" applyFill="1" applyBorder="1" applyAlignment="1" applyProtection="1">
      <alignment horizontal="left" vertical="top" wrapText="1"/>
    </xf>
    <xf numFmtId="0" fontId="6" fillId="0" borderId="0" xfId="3" applyFont="1" applyAlignment="1">
      <alignment horizontal="center"/>
    </xf>
    <xf numFmtId="0" fontId="20" fillId="3" borderId="0" xfId="2" applyFont="1" applyFill="1" applyAlignment="1" applyProtection="1">
      <alignment horizontal="center"/>
    </xf>
  </cellXfs>
  <cellStyles count="5">
    <cellStyle name="Comma" xfId="1" builtinId="3"/>
    <cellStyle name="Normal" xfId="0" builtinId="0"/>
    <cellStyle name="Normal_ES-PSFAT03014_10A" xfId="2"/>
    <cellStyle name="Normal_other costs" xfId="3"/>
    <cellStyle name="Percent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Percentage Checkpoint</a:t>
            </a:r>
          </a:p>
        </c:rich>
      </c:tx>
      <c:layout>
        <c:manualLayout>
          <c:xMode val="edge"/>
          <c:yMode val="edge"/>
          <c:x val="0.23099422572178477"/>
          <c:y val="3.8793036899799287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8128716366594527"/>
          <c:y val="0.37931124988686754"/>
          <c:w val="0.60818887115334663"/>
          <c:h val="0.35775937365169896"/>
        </c:manualLayout>
      </c:layout>
      <c:pie3DChart>
        <c:varyColors val="1"/>
        <c:ser>
          <c:idx val="0"/>
          <c:order val="0"/>
          <c:tx>
            <c:strRef>
              <c:f>'Magnitude(5)'!$R$5</c:f>
              <c:strCache>
                <c:ptCount val="1"/>
                <c:pt idx="0">
                  <c:v>Pcts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42"/>
          <c:dPt>
            <c:idx val="0"/>
            <c:bubble3D val="0"/>
            <c:explosion val="18"/>
          </c:dPt>
          <c:dPt>
            <c:idx val="1"/>
            <c:bubble3D val="0"/>
            <c:explosion val="28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layout/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('Magnitude(5)'!$Q$8,'Magnitude(5)'!$Q$10,'Magnitude(5)'!$Q$13,'Magnitude(5)'!$Q$16)</c:f>
              <c:strCache>
                <c:ptCount val="4"/>
                <c:pt idx="0">
                  <c:v>Analysis &amp; Design</c:v>
                </c:pt>
                <c:pt idx="2">
                  <c:v>Test &amp; Implement</c:v>
                </c:pt>
                <c:pt idx="3">
                  <c:v>Project Management</c:v>
                </c:pt>
              </c:strCache>
            </c:strRef>
          </c:cat>
          <c:val>
            <c:numRef>
              <c:f>('Magnitude(5)'!$R$8,'Magnitude(5)'!$R$10,'Magnitude(5)'!$R$13,'Magnitude(5)'!$R$16)</c:f>
              <c:numCache>
                <c:formatCode>0%</c:formatCode>
                <c:ptCount val="4"/>
                <c:pt idx="0">
                  <c:v>0.13</c:v>
                </c:pt>
                <c:pt idx="2">
                  <c:v>0.18</c:v>
                </c:pt>
                <c:pt idx="3">
                  <c:v>0.20000000000000004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022" r="0.75000000000000022" t="1" header="0.5" footer="0.5"/>
    <c:pageSetup orientation="landscape" horizontalDpi="-3" verticalDpi="0"/>
  </c:printSettings>
</c:chartSpace>
</file>

<file path=xl/ctrlProps/ctrlProp1.xml><?xml version="1.0" encoding="utf-8"?>
<formControlPr xmlns="http://schemas.microsoft.com/office/spreadsheetml/2009/9/main" objectType="Radio" firstButton="1" fmlaLink="$B$49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checked="Checked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fmlaLink="$B$53" lockText="1"/>
</file>

<file path=xl/ctrlProps/ctrlProp6.xml><?xml version="1.0" encoding="utf-8"?>
<formControlPr xmlns="http://schemas.microsoft.com/office/spreadsheetml/2009/9/main" objectType="Radio" lockText="1"/>
</file>

<file path=xl/ctrlProps/ctrlProp7.xml><?xml version="1.0" encoding="utf-8"?>
<formControlPr xmlns="http://schemas.microsoft.com/office/spreadsheetml/2009/9/main" objectType="Radio" lockText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fmlaLink="$B$45" lockText="1"/>
</file>

<file path=xl/ctrlProps/ctrlProp10.xml><?xml version="1.0" encoding="utf-8"?>
<formControlPr xmlns="http://schemas.microsoft.com/office/spreadsheetml/2009/9/main" objectType="Radio" lockText="1"/>
</file>

<file path=xl/ctrlProps/ctrlProp11.xml><?xml version="1.0" encoding="utf-8"?>
<formControlPr xmlns="http://schemas.microsoft.com/office/spreadsheetml/2009/9/main" objectType="Radio" checked="Checked" lockText="1"/>
</file>

<file path=xl/ctrlProps/ctrlProp12.xml><?xml version="1.0" encoding="utf-8"?>
<formControlPr xmlns="http://schemas.microsoft.com/office/spreadsheetml/2009/9/main" objectType="GBox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47</xdr:row>
          <xdr:rowOff>114300</xdr:rowOff>
        </xdr:from>
        <xdr:to>
          <xdr:col>0</xdr:col>
          <xdr:colOff>828675</xdr:colOff>
          <xdr:row>49</xdr:row>
          <xdr:rowOff>9525</xdr:rowOff>
        </xdr:to>
        <xdr:sp macro="" textlink="">
          <xdr:nvSpPr>
            <xdr:cNvPr id="3126" name="Option Button 54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 mc:Ignorable="a14" a14:legacySpreadsheetColorIndex="5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High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1009650</xdr:colOff>
          <xdr:row>47</xdr:row>
          <xdr:rowOff>123825</xdr:rowOff>
        </xdr:from>
        <xdr:to>
          <xdr:col>0</xdr:col>
          <xdr:colOff>1638300</xdr:colOff>
          <xdr:row>49</xdr:row>
          <xdr:rowOff>19050</xdr:rowOff>
        </xdr:to>
        <xdr:sp macro="" textlink="">
          <xdr:nvSpPr>
            <xdr:cNvPr id="3127" name="Option Button 55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 mc:Ignorable="a14" a14:legacySpreadsheetColorIndex="5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Medium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1819275</xdr:colOff>
          <xdr:row>47</xdr:row>
          <xdr:rowOff>123825</xdr:rowOff>
        </xdr:from>
        <xdr:to>
          <xdr:col>0</xdr:col>
          <xdr:colOff>2447925</xdr:colOff>
          <xdr:row>49</xdr:row>
          <xdr:rowOff>19050</xdr:rowOff>
        </xdr:to>
        <xdr:sp macro="" textlink="">
          <xdr:nvSpPr>
            <xdr:cNvPr id="3128" name="Option Button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 mc:Ignorable="a14" a14:legacySpreadsheetColorIndex="5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Low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51</xdr:row>
          <xdr:rowOff>76200</xdr:rowOff>
        </xdr:from>
        <xdr:to>
          <xdr:col>0</xdr:col>
          <xdr:colOff>2495550</xdr:colOff>
          <xdr:row>53</xdr:row>
          <xdr:rowOff>85725</xdr:rowOff>
        </xdr:to>
        <xdr:sp macro="" textlink="">
          <xdr:nvSpPr>
            <xdr:cNvPr id="3129" name="Group Box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51</xdr:row>
          <xdr:rowOff>123825</xdr:rowOff>
        </xdr:from>
        <xdr:to>
          <xdr:col>0</xdr:col>
          <xdr:colOff>838200</xdr:colOff>
          <xdr:row>53</xdr:row>
          <xdr:rowOff>19050</xdr:rowOff>
        </xdr:to>
        <xdr:sp macro="" textlink="">
          <xdr:nvSpPr>
            <xdr:cNvPr id="3130" name="Option Button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 mc:Ignorable="a14" a14:legacySpreadsheetColorIndex="5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High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1019175</xdr:colOff>
          <xdr:row>51</xdr:row>
          <xdr:rowOff>123825</xdr:rowOff>
        </xdr:from>
        <xdr:to>
          <xdr:col>0</xdr:col>
          <xdr:colOff>1647825</xdr:colOff>
          <xdr:row>53</xdr:row>
          <xdr:rowOff>19050</xdr:rowOff>
        </xdr:to>
        <xdr:sp macro="" textlink="">
          <xdr:nvSpPr>
            <xdr:cNvPr id="3131" name="Option Button 59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 mc:Ignorable="a14" a14:legacySpreadsheetColorIndex="5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Medium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1819275</xdr:colOff>
          <xdr:row>51</xdr:row>
          <xdr:rowOff>123825</xdr:rowOff>
        </xdr:from>
        <xdr:to>
          <xdr:col>0</xdr:col>
          <xdr:colOff>2447925</xdr:colOff>
          <xdr:row>53</xdr:row>
          <xdr:rowOff>19050</xdr:rowOff>
        </xdr:to>
        <xdr:sp macro="" textlink="">
          <xdr:nvSpPr>
            <xdr:cNvPr id="3132" name="Option Button 60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 mc:Ignorable="a14" a14:legacySpreadsheetColorIndex="5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Low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47</xdr:row>
          <xdr:rowOff>66675</xdr:rowOff>
        </xdr:from>
        <xdr:to>
          <xdr:col>0</xdr:col>
          <xdr:colOff>2495550</xdr:colOff>
          <xdr:row>49</xdr:row>
          <xdr:rowOff>76200</xdr:rowOff>
        </xdr:to>
        <xdr:sp macro="" textlink="">
          <xdr:nvSpPr>
            <xdr:cNvPr id="3134" name="Group Box 62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43</xdr:row>
          <xdr:rowOff>133350</xdr:rowOff>
        </xdr:from>
        <xdr:to>
          <xdr:col>0</xdr:col>
          <xdr:colOff>838200</xdr:colOff>
          <xdr:row>45</xdr:row>
          <xdr:rowOff>28575</xdr:rowOff>
        </xdr:to>
        <xdr:sp macro="" textlink="">
          <xdr:nvSpPr>
            <xdr:cNvPr id="3135" name="Option Button 63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 mc:Ignorable="a14" a14:legacySpreadsheetColorIndex="5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High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1019175</xdr:colOff>
          <xdr:row>43</xdr:row>
          <xdr:rowOff>133350</xdr:rowOff>
        </xdr:from>
        <xdr:to>
          <xdr:col>0</xdr:col>
          <xdr:colOff>1647825</xdr:colOff>
          <xdr:row>45</xdr:row>
          <xdr:rowOff>38100</xdr:rowOff>
        </xdr:to>
        <xdr:sp macro="" textlink="">
          <xdr:nvSpPr>
            <xdr:cNvPr id="3136" name="Option Button 64" hidden="1">
              <a:extLst>
                <a:ext uri="{63B3BB69-23CF-44E3-9099-C40C66FF867C}">
                  <a14:compatExt spid="_x0000_s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 mc:Ignorable="a14" a14:legacySpreadsheetColorIndex="5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Medium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1828800</xdr:colOff>
          <xdr:row>43</xdr:row>
          <xdr:rowOff>133350</xdr:rowOff>
        </xdr:from>
        <xdr:to>
          <xdr:col>0</xdr:col>
          <xdr:colOff>2457450</xdr:colOff>
          <xdr:row>45</xdr:row>
          <xdr:rowOff>28575</xdr:rowOff>
        </xdr:to>
        <xdr:sp macro="" textlink="">
          <xdr:nvSpPr>
            <xdr:cNvPr id="3137" name="Option Button 6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 mc:Ignorable="a14" a14:legacySpreadsheetColorIndex="5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Low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43</xdr:row>
          <xdr:rowOff>76200</xdr:rowOff>
        </xdr:from>
        <xdr:to>
          <xdr:col>0</xdr:col>
          <xdr:colOff>2505075</xdr:colOff>
          <xdr:row>45</xdr:row>
          <xdr:rowOff>85725</xdr:rowOff>
        </xdr:to>
        <xdr:sp macro="" textlink="">
          <xdr:nvSpPr>
            <xdr:cNvPr id="3138" name="Group Box 66" hidden="1">
              <a:extLst>
                <a:ext uri="{63B3BB69-23CF-44E3-9099-C40C66FF867C}">
                  <a14:compatExt spid="_x0000_s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2</xdr:row>
      <xdr:rowOff>285750</xdr:rowOff>
    </xdr:from>
    <xdr:to>
      <xdr:col>17</xdr:col>
      <xdr:colOff>590550</xdr:colOff>
      <xdr:row>60</xdr:row>
      <xdr:rowOff>95250</xdr:rowOff>
    </xdr:to>
    <xdr:pic>
      <xdr:nvPicPr>
        <xdr:cNvPr id="128102" name="Imagem 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0" y="704850"/>
          <a:ext cx="8477250" cy="5857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21</xdr:row>
      <xdr:rowOff>9525</xdr:rowOff>
    </xdr:from>
    <xdr:to>
      <xdr:col>17</xdr:col>
      <xdr:colOff>600075</xdr:colOff>
      <xdr:row>37</xdr:row>
      <xdr:rowOff>9525</xdr:rowOff>
    </xdr:to>
    <xdr:graphicFrame macro="">
      <xdr:nvGraphicFramePr>
        <xdr:cNvPr id="1284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ucianaTerra/GLOBO/Processo/Estimativa/FERRAMENTA%20VINICIUS/Plans_Estimativas/C&#243;pia%20de%20Desenv/DotNet/C&#243;pia%20de%201%20(Salvo%20automaticamente)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Vinicius_HP/PLAN%20ESTIMATIVA/1.Project_SP_Metrics_Estimate_%20DOTNET_MVC_Tool24_vs04_ORiGIN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riteria"/>
      <sheetName val="Matrix(0)"/>
      <sheetName val="Produce(1)"/>
      <sheetName val="Assumptions(2)"/>
      <sheetName val="Magnitude(3)"/>
      <sheetName val="Pre-staff(4)"/>
      <sheetName val="Other Costs"/>
      <sheetName val="Amendment 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riteria"/>
      <sheetName val="Matrix(0)"/>
      <sheetName val="Produce(1)"/>
      <sheetName val="Assumptions(2)"/>
      <sheetName val="Magnitude(3)"/>
      <sheetName val="Pre-staff(4)"/>
      <sheetName val="Other Costs"/>
      <sheetName val="Amendment 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  <pageSetUpPr fitToPage="1"/>
  </sheetPr>
  <dimension ref="A1:IQ31"/>
  <sheetViews>
    <sheetView showGridLines="0" zoomScaleNormal="100" zoomScaleSheetLayoutView="100" workbookViewId="0"/>
  </sheetViews>
  <sheetFormatPr defaultColWidth="9.140625" defaultRowHeight="11.25" x14ac:dyDescent="0.2"/>
  <cols>
    <col min="1" max="1" width="11" style="171" bestFit="1" customWidth="1"/>
    <col min="2" max="2" width="11" style="171" customWidth="1"/>
    <col min="3" max="3" width="39.7109375" style="171" bestFit="1" customWidth="1"/>
    <col min="4" max="4" width="5.7109375" style="171" customWidth="1"/>
    <col min="5" max="5" width="8.7109375" style="171" customWidth="1"/>
    <col min="6" max="6" width="9.140625" style="171"/>
    <col min="7" max="7" width="38.140625" style="171" customWidth="1"/>
    <col min="8" max="16384" width="9.140625" style="171"/>
  </cols>
  <sheetData>
    <row r="1" spans="1:251" ht="12.75" x14ac:dyDescent="0.2">
      <c r="A1" s="170"/>
      <c r="B1" s="170"/>
      <c r="C1" s="170"/>
      <c r="D1" s="170"/>
      <c r="E1" s="170"/>
      <c r="F1" s="170"/>
      <c r="G1" s="170"/>
      <c r="H1" s="170"/>
      <c r="I1" s="170"/>
      <c r="J1" s="170"/>
    </row>
    <row r="2" spans="1:251" ht="16.5" thickBot="1" x14ac:dyDescent="0.3">
      <c r="A2" s="408" t="s">
        <v>42</v>
      </c>
      <c r="B2" s="408"/>
      <c r="C2" s="408"/>
      <c r="D2" s="408"/>
      <c r="E2" s="408"/>
      <c r="F2" s="170"/>
      <c r="G2" s="170"/>
      <c r="H2" s="170"/>
      <c r="I2" s="170"/>
      <c r="J2" s="170"/>
    </row>
    <row r="3" spans="1:251" ht="35.25" customHeight="1" thickBot="1" x14ac:dyDescent="0.25">
      <c r="A3" s="409" t="s">
        <v>66</v>
      </c>
      <c r="B3" s="410"/>
      <c r="C3" s="412" t="str">
        <f>E7</f>
        <v>Ajustes para Termo de Moedas e Commodities</v>
      </c>
      <c r="D3" s="413"/>
      <c r="E3" s="413"/>
      <c r="F3" s="413"/>
      <c r="G3" s="414"/>
      <c r="H3" s="170"/>
      <c r="I3" s="170"/>
      <c r="J3" s="170"/>
    </row>
    <row r="4" spans="1:251" ht="12.75" x14ac:dyDescent="0.2">
      <c r="B4" s="170"/>
      <c r="C4" s="170"/>
      <c r="D4" s="172"/>
      <c r="E4" s="170"/>
      <c r="F4" s="170"/>
      <c r="G4" s="170"/>
      <c r="H4" s="170"/>
      <c r="I4" s="170"/>
      <c r="J4" s="170"/>
    </row>
    <row r="5" spans="1:251" ht="12.75" x14ac:dyDescent="0.2">
      <c r="A5" s="173"/>
      <c r="C5" s="174" t="s">
        <v>259</v>
      </c>
      <c r="D5" s="175"/>
      <c r="E5" s="404" t="s">
        <v>307</v>
      </c>
      <c r="F5" s="404"/>
      <c r="G5" s="404"/>
      <c r="H5" s="170"/>
      <c r="I5" s="170"/>
      <c r="J5" s="170"/>
    </row>
    <row r="6" spans="1:251" s="177" customFormat="1" ht="12.75" x14ac:dyDescent="0.2">
      <c r="A6" s="173"/>
      <c r="B6" s="176"/>
      <c r="C6" s="174" t="s">
        <v>260</v>
      </c>
      <c r="D6" s="175"/>
      <c r="E6" s="411"/>
      <c r="F6" s="411"/>
      <c r="G6" s="411"/>
      <c r="H6" s="170"/>
      <c r="I6" s="170"/>
      <c r="J6" s="170"/>
      <c r="K6" s="170"/>
      <c r="L6" s="170"/>
      <c r="M6" s="170"/>
      <c r="N6" s="170"/>
      <c r="O6" s="170"/>
      <c r="P6" s="170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71"/>
      <c r="BI6" s="171"/>
      <c r="BJ6" s="171"/>
      <c r="BK6" s="171"/>
      <c r="BL6" s="171"/>
      <c r="BM6" s="171"/>
      <c r="BN6" s="171"/>
      <c r="BO6" s="171"/>
      <c r="BP6" s="171"/>
      <c r="BQ6" s="171"/>
      <c r="BR6" s="171"/>
      <c r="BS6" s="171"/>
      <c r="BT6" s="171"/>
      <c r="BU6" s="171"/>
      <c r="BV6" s="171"/>
      <c r="BW6" s="171"/>
      <c r="BX6" s="171"/>
      <c r="BY6" s="171"/>
      <c r="BZ6" s="171"/>
      <c r="CA6" s="171"/>
      <c r="CB6" s="171"/>
      <c r="CC6" s="171"/>
      <c r="CD6" s="171"/>
      <c r="CE6" s="171"/>
      <c r="CF6" s="171"/>
      <c r="CG6" s="171"/>
      <c r="CH6" s="171"/>
      <c r="CI6" s="171"/>
      <c r="CJ6" s="171"/>
      <c r="CK6" s="171"/>
      <c r="CL6" s="171"/>
      <c r="CM6" s="171"/>
      <c r="CN6" s="171"/>
      <c r="CO6" s="171"/>
      <c r="CP6" s="171"/>
      <c r="CQ6" s="171"/>
      <c r="CR6" s="171"/>
      <c r="CS6" s="171"/>
      <c r="CT6" s="171"/>
      <c r="CU6" s="171"/>
      <c r="CV6" s="171"/>
      <c r="CW6" s="171"/>
      <c r="CX6" s="171"/>
      <c r="CY6" s="171"/>
      <c r="CZ6" s="171"/>
      <c r="DA6" s="171"/>
      <c r="DB6" s="171"/>
      <c r="DC6" s="171"/>
      <c r="DD6" s="171"/>
      <c r="DE6" s="171"/>
      <c r="DF6" s="171"/>
      <c r="DG6" s="171"/>
      <c r="DH6" s="171"/>
      <c r="DI6" s="171"/>
      <c r="DJ6" s="171"/>
      <c r="DK6" s="171"/>
      <c r="DL6" s="171"/>
      <c r="DM6" s="171"/>
      <c r="DN6" s="171"/>
      <c r="DO6" s="171"/>
      <c r="DP6" s="171"/>
      <c r="DQ6" s="171"/>
      <c r="DR6" s="171"/>
      <c r="DS6" s="171"/>
      <c r="DT6" s="171"/>
      <c r="DU6" s="171"/>
      <c r="DV6" s="171"/>
      <c r="DW6" s="171"/>
      <c r="DX6" s="171"/>
      <c r="DY6" s="171"/>
      <c r="DZ6" s="171"/>
      <c r="EA6" s="171"/>
      <c r="EB6" s="171"/>
      <c r="EC6" s="171"/>
      <c r="ED6" s="171"/>
      <c r="EE6" s="171"/>
      <c r="EF6" s="171"/>
      <c r="EG6" s="171"/>
      <c r="EH6" s="171"/>
      <c r="EI6" s="171"/>
      <c r="EJ6" s="171"/>
      <c r="EK6" s="171"/>
      <c r="EL6" s="171"/>
      <c r="EM6" s="171"/>
      <c r="EN6" s="171"/>
      <c r="EO6" s="171"/>
      <c r="EP6" s="171"/>
      <c r="EQ6" s="171"/>
      <c r="ER6" s="171"/>
      <c r="ES6" s="171"/>
      <c r="ET6" s="171"/>
      <c r="EU6" s="171"/>
      <c r="EV6" s="171"/>
      <c r="EW6" s="171"/>
      <c r="EX6" s="171"/>
      <c r="EY6" s="171"/>
      <c r="EZ6" s="171"/>
      <c r="FA6" s="171"/>
      <c r="FB6" s="171"/>
      <c r="FC6" s="171"/>
      <c r="FD6" s="171"/>
      <c r="FE6" s="171"/>
      <c r="FF6" s="171"/>
      <c r="FG6" s="171"/>
      <c r="FH6" s="171"/>
      <c r="FI6" s="171"/>
      <c r="FJ6" s="171"/>
      <c r="FK6" s="171"/>
      <c r="FL6" s="171"/>
      <c r="FM6" s="171"/>
      <c r="FN6" s="171"/>
      <c r="FO6" s="171"/>
      <c r="FP6" s="171"/>
      <c r="FQ6" s="171"/>
      <c r="FR6" s="171"/>
      <c r="FS6" s="171"/>
      <c r="FT6" s="171"/>
      <c r="FU6" s="171"/>
      <c r="FV6" s="171"/>
      <c r="FW6" s="171"/>
      <c r="FX6" s="171"/>
      <c r="FY6" s="171"/>
      <c r="FZ6" s="171"/>
      <c r="GA6" s="171"/>
      <c r="GB6" s="171"/>
      <c r="GC6" s="171"/>
      <c r="GD6" s="171"/>
      <c r="GE6" s="171"/>
      <c r="GF6" s="171"/>
      <c r="GG6" s="171"/>
      <c r="GH6" s="171"/>
      <c r="GI6" s="171"/>
      <c r="GJ6" s="171"/>
      <c r="GK6" s="171"/>
      <c r="GL6" s="171"/>
      <c r="GM6" s="171"/>
      <c r="GN6" s="171"/>
      <c r="GO6" s="171"/>
      <c r="GP6" s="171"/>
      <c r="GQ6" s="171"/>
      <c r="GR6" s="171"/>
      <c r="GS6" s="171"/>
      <c r="GT6" s="171"/>
      <c r="GU6" s="171"/>
      <c r="GV6" s="171"/>
      <c r="GW6" s="171"/>
      <c r="GX6" s="171"/>
      <c r="GY6" s="171"/>
      <c r="GZ6" s="171"/>
      <c r="HA6" s="171"/>
      <c r="HB6" s="171"/>
      <c r="HC6" s="171"/>
      <c r="HD6" s="171"/>
      <c r="HE6" s="171"/>
      <c r="HF6" s="171"/>
      <c r="HG6" s="171"/>
      <c r="HH6" s="171"/>
      <c r="HI6" s="171"/>
      <c r="HJ6" s="171"/>
      <c r="HK6" s="171"/>
      <c r="HL6" s="171"/>
      <c r="HM6" s="171"/>
      <c r="HN6" s="171"/>
      <c r="HO6" s="171"/>
      <c r="HP6" s="171"/>
      <c r="HQ6" s="171"/>
      <c r="HR6" s="171"/>
      <c r="HS6" s="171"/>
      <c r="HT6" s="171"/>
      <c r="HU6" s="171"/>
      <c r="HV6" s="171"/>
      <c r="HW6" s="171"/>
      <c r="HX6" s="171"/>
      <c r="HY6" s="171"/>
      <c r="HZ6" s="171"/>
      <c r="IA6" s="171"/>
      <c r="IB6" s="171"/>
      <c r="IC6" s="171"/>
      <c r="ID6" s="171"/>
      <c r="IE6" s="171"/>
      <c r="IF6" s="171"/>
      <c r="IG6" s="171"/>
      <c r="IH6" s="171"/>
      <c r="II6" s="171"/>
      <c r="IJ6" s="171"/>
      <c r="IK6" s="171"/>
      <c r="IL6" s="171"/>
      <c r="IM6" s="171"/>
      <c r="IN6" s="171"/>
      <c r="IO6" s="171"/>
      <c r="IP6" s="171"/>
      <c r="IQ6" s="171"/>
    </row>
    <row r="7" spans="1:251" ht="12.75" x14ac:dyDescent="0.2">
      <c r="A7" s="173"/>
      <c r="B7" s="176"/>
      <c r="C7" s="174" t="s">
        <v>261</v>
      </c>
      <c r="D7" s="175"/>
      <c r="E7" s="404" t="s">
        <v>308</v>
      </c>
      <c r="F7" s="404"/>
      <c r="G7" s="404"/>
      <c r="H7" s="170"/>
      <c r="I7" s="170"/>
      <c r="J7" s="170"/>
      <c r="L7" s="170"/>
      <c r="M7" s="170"/>
      <c r="N7" s="170"/>
      <c r="O7" s="170"/>
    </row>
    <row r="8" spans="1:251" ht="12.75" x14ac:dyDescent="0.2">
      <c r="A8" s="173"/>
      <c r="B8" s="176"/>
      <c r="C8" s="178"/>
      <c r="D8" s="142"/>
      <c r="E8" s="172"/>
      <c r="F8" s="172"/>
      <c r="G8" s="170"/>
      <c r="H8" s="170"/>
      <c r="I8" s="170"/>
      <c r="J8" s="170"/>
      <c r="L8" s="170"/>
      <c r="M8" s="170"/>
      <c r="N8" s="170"/>
      <c r="O8" s="170"/>
    </row>
    <row r="9" spans="1:251" ht="12.75" x14ac:dyDescent="0.2">
      <c r="A9" s="173"/>
      <c r="B9" s="176"/>
      <c r="C9" s="174" t="s">
        <v>262</v>
      </c>
      <c r="D9" s="175"/>
      <c r="E9" s="405">
        <v>230</v>
      </c>
      <c r="F9" s="406"/>
      <c r="G9" s="407"/>
      <c r="H9" s="170"/>
      <c r="I9" s="170"/>
      <c r="J9" s="170"/>
      <c r="L9" s="170"/>
      <c r="M9" s="170"/>
      <c r="N9" s="170"/>
      <c r="O9" s="170"/>
    </row>
    <row r="10" spans="1:251" ht="12.75" x14ac:dyDescent="0.2">
      <c r="A10" s="173"/>
      <c r="C10" s="170"/>
      <c r="D10" s="172"/>
      <c r="E10" s="170"/>
      <c r="F10" s="170"/>
      <c r="G10" s="170"/>
      <c r="H10" s="170"/>
      <c r="I10" s="170"/>
      <c r="J10" s="170"/>
      <c r="L10" s="170"/>
      <c r="M10" s="170"/>
      <c r="N10" s="170"/>
      <c r="O10" s="170"/>
    </row>
    <row r="11" spans="1:251" ht="12.75" x14ac:dyDescent="0.2">
      <c r="A11" s="173"/>
      <c r="C11" s="170"/>
      <c r="D11" s="172"/>
      <c r="E11" s="170"/>
      <c r="F11" s="170"/>
      <c r="G11" s="170"/>
      <c r="H11" s="170"/>
      <c r="I11" s="170"/>
      <c r="J11" s="170"/>
      <c r="L11" s="170"/>
      <c r="M11" s="170"/>
      <c r="N11" s="170"/>
      <c r="O11" s="170"/>
    </row>
    <row r="12" spans="1:251" ht="12.75" x14ac:dyDescent="0.2">
      <c r="A12" s="173"/>
      <c r="C12" s="174" t="s">
        <v>285</v>
      </c>
      <c r="D12" s="170"/>
      <c r="E12" s="366"/>
      <c r="F12" s="170"/>
      <c r="G12" s="170"/>
      <c r="H12" s="170"/>
      <c r="I12" s="170"/>
      <c r="J12" s="170"/>
      <c r="L12" s="170"/>
      <c r="M12" s="170"/>
      <c r="N12" s="170"/>
      <c r="O12" s="170"/>
    </row>
    <row r="13" spans="1:251" ht="12.75" x14ac:dyDescent="0.2">
      <c r="A13" s="173"/>
      <c r="B13" s="176"/>
      <c r="C13" s="174" t="s">
        <v>282</v>
      </c>
      <c r="D13" s="170"/>
      <c r="E13" s="180">
        <f>E9*0.5</f>
        <v>115</v>
      </c>
      <c r="F13" s="180">
        <f>E9*2</f>
        <v>460</v>
      </c>
      <c r="G13" s="170"/>
      <c r="H13" s="170"/>
      <c r="I13" s="170"/>
      <c r="J13" s="170"/>
      <c r="L13" s="170"/>
      <c r="M13" s="170"/>
      <c r="N13" s="170"/>
      <c r="O13" s="170"/>
    </row>
    <row r="14" spans="1:251" ht="12.75" x14ac:dyDescent="0.2">
      <c r="A14" s="173"/>
      <c r="B14" s="176"/>
      <c r="C14" s="174" t="s">
        <v>283</v>
      </c>
      <c r="D14" s="170"/>
      <c r="E14" s="180">
        <f>E9*0.75</f>
        <v>172.5</v>
      </c>
      <c r="F14" s="180">
        <f>E9*1.5</f>
        <v>345</v>
      </c>
      <c r="G14" s="170"/>
      <c r="H14" s="170"/>
      <c r="I14" s="170"/>
      <c r="J14" s="170"/>
      <c r="L14" s="170"/>
      <c r="M14" s="170"/>
      <c r="N14" s="170"/>
      <c r="O14" s="170"/>
    </row>
    <row r="15" spans="1:251" x14ac:dyDescent="0.2">
      <c r="A15" s="173"/>
      <c r="B15" s="176"/>
      <c r="C15" s="174" t="s">
        <v>284</v>
      </c>
      <c r="E15" s="180">
        <f>E9*0.9</f>
        <v>207</v>
      </c>
      <c r="F15" s="180">
        <f>E9*1.1</f>
        <v>253.00000000000003</v>
      </c>
    </row>
    <row r="16" spans="1:251" x14ac:dyDescent="0.2">
      <c r="A16" s="173"/>
      <c r="B16" s="176"/>
    </row>
    <row r="17" spans="1:5" x14ac:dyDescent="0.2">
      <c r="C17" s="174" t="s">
        <v>286</v>
      </c>
      <c r="E17" s="367">
        <f>'Magnitude(5)'!M17</f>
        <v>227.04000000000005</v>
      </c>
    </row>
    <row r="18" spans="1:5" x14ac:dyDescent="0.2">
      <c r="A18" s="173" t="s">
        <v>24</v>
      </c>
    </row>
    <row r="19" spans="1:5" x14ac:dyDescent="0.2">
      <c r="A19" s="171" t="s">
        <v>25</v>
      </c>
      <c r="B19" s="179"/>
    </row>
    <row r="20" spans="1:5" x14ac:dyDescent="0.2">
      <c r="A20" s="171" t="s">
        <v>267</v>
      </c>
      <c r="B20" s="180"/>
    </row>
    <row r="22" spans="1:5" ht="12.75" x14ac:dyDescent="0.2">
      <c r="A22" s="170"/>
      <c r="B22" s="170"/>
      <c r="C22" s="170"/>
    </row>
    <row r="23" spans="1:5" ht="12.75" x14ac:dyDescent="0.2">
      <c r="A23" s="170"/>
      <c r="B23" s="170"/>
      <c r="C23" s="170"/>
      <c r="D23" s="170"/>
      <c r="E23" s="170"/>
    </row>
    <row r="24" spans="1:5" ht="12.75" x14ac:dyDescent="0.2">
      <c r="A24" s="170"/>
      <c r="B24" s="170"/>
      <c r="C24" s="170"/>
      <c r="D24" s="170"/>
      <c r="E24" s="170"/>
    </row>
    <row r="25" spans="1:5" ht="12.75" x14ac:dyDescent="0.2">
      <c r="A25" s="170"/>
      <c r="B25" s="170"/>
      <c r="C25" s="170"/>
      <c r="D25" s="170"/>
      <c r="E25" s="170"/>
    </row>
    <row r="26" spans="1:5" ht="12.75" x14ac:dyDescent="0.2">
      <c r="A26" s="170"/>
      <c r="B26" s="170"/>
      <c r="C26" s="170"/>
      <c r="D26" s="170"/>
      <c r="E26" s="170"/>
    </row>
    <row r="27" spans="1:5" ht="12.75" x14ac:dyDescent="0.2">
      <c r="A27" s="170"/>
      <c r="B27" s="170"/>
      <c r="C27" s="170"/>
      <c r="D27" s="170"/>
      <c r="E27" s="170"/>
    </row>
    <row r="28" spans="1:5" ht="12.75" x14ac:dyDescent="0.2">
      <c r="A28" s="170"/>
      <c r="B28" s="170"/>
      <c r="C28" s="170"/>
      <c r="D28" s="170"/>
      <c r="E28" s="170"/>
    </row>
    <row r="29" spans="1:5" ht="12.75" x14ac:dyDescent="0.2">
      <c r="A29" s="170"/>
      <c r="B29" s="170"/>
      <c r="C29" s="170"/>
      <c r="D29" s="170"/>
      <c r="E29" s="170"/>
    </row>
    <row r="30" spans="1:5" ht="12.75" x14ac:dyDescent="0.2">
      <c r="A30" s="170"/>
      <c r="B30" s="170"/>
      <c r="C30" s="170"/>
      <c r="D30" s="170"/>
      <c r="E30" s="170"/>
    </row>
    <row r="31" spans="1:5" ht="12.75" x14ac:dyDescent="0.2">
      <c r="A31" s="170"/>
      <c r="B31" s="170"/>
      <c r="C31" s="170"/>
      <c r="D31" s="170"/>
      <c r="E31" s="170"/>
    </row>
  </sheetData>
  <sheetProtection password="E819" sheet="1" objects="1" scenarios="1"/>
  <mergeCells count="7">
    <mergeCell ref="E7:G7"/>
    <mergeCell ref="E9:G9"/>
    <mergeCell ref="A2:E2"/>
    <mergeCell ref="A3:B3"/>
    <mergeCell ref="E5:G5"/>
    <mergeCell ref="E6:G6"/>
    <mergeCell ref="C3:G3"/>
  </mergeCells>
  <phoneticPr fontId="0" type="noConversion"/>
  <pageMargins left="0.75" right="0.75" top="1" bottom="1" header="0.5" footer="0.5"/>
  <pageSetup scale="87" orientation="landscape" horizontalDpi="200" r:id="rId1"/>
  <headerFooter alignWithMargins="0">
    <oddHeader>&amp;LEstimate Worksheet</oddHeader>
    <oddFooter>&amp;L&amp;BEDS Confidential&amp;B&amp;C&amp;D&amp;RPage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70"/>
  <sheetViews>
    <sheetView zoomScaleNormal="100" workbookViewId="0">
      <selection sqref="A1:L1"/>
    </sheetView>
  </sheetViews>
  <sheetFormatPr defaultColWidth="9.140625" defaultRowHeight="12.75" x14ac:dyDescent="0.2"/>
  <cols>
    <col min="1" max="1" width="17.85546875" style="142" customWidth="1"/>
    <col min="2" max="2" width="9.140625" style="142"/>
    <col min="3" max="3" width="29.85546875" style="142" customWidth="1"/>
    <col min="4" max="4" width="47" style="142" bestFit="1" customWidth="1"/>
    <col min="5" max="16384" width="9.140625" style="142"/>
  </cols>
  <sheetData>
    <row r="1" spans="1:12" ht="16.5" customHeight="1" thickBot="1" x14ac:dyDescent="0.25">
      <c r="A1" s="415" t="s">
        <v>130</v>
      </c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7"/>
    </row>
    <row r="2" spans="1:12" ht="13.5" thickBot="1" x14ac:dyDescent="0.25"/>
    <row r="3" spans="1:12" ht="27" customHeight="1" thickBot="1" x14ac:dyDescent="0.25">
      <c r="E3" s="430" t="s">
        <v>91</v>
      </c>
      <c r="F3" s="431"/>
      <c r="G3" s="430" t="s">
        <v>92</v>
      </c>
      <c r="H3" s="431"/>
      <c r="I3" s="430" t="s">
        <v>93</v>
      </c>
      <c r="J3" s="431"/>
      <c r="K3" s="430" t="s">
        <v>94</v>
      </c>
      <c r="L3" s="431"/>
    </row>
    <row r="4" spans="1:12" ht="22.7" customHeight="1" thickBot="1" x14ac:dyDescent="0.25">
      <c r="D4" s="181" t="s">
        <v>130</v>
      </c>
      <c r="E4" s="182" t="s">
        <v>131</v>
      </c>
      <c r="F4" s="139" t="s">
        <v>96</v>
      </c>
      <c r="G4" s="182" t="s">
        <v>131</v>
      </c>
      <c r="H4" s="139" t="s">
        <v>96</v>
      </c>
      <c r="I4" s="182" t="s">
        <v>131</v>
      </c>
      <c r="J4" s="139" t="s">
        <v>96</v>
      </c>
      <c r="K4" s="182" t="s">
        <v>131</v>
      </c>
      <c r="L4" s="139" t="s">
        <v>96</v>
      </c>
    </row>
    <row r="5" spans="1:12" x14ac:dyDescent="0.2">
      <c r="A5" s="421" t="s">
        <v>107</v>
      </c>
      <c r="B5" s="424" t="s">
        <v>68</v>
      </c>
      <c r="C5" s="425"/>
      <c r="D5" s="183" t="s">
        <v>99</v>
      </c>
      <c r="E5" s="184">
        <v>5</v>
      </c>
      <c r="F5" s="418">
        <v>3</v>
      </c>
      <c r="G5" s="184">
        <v>10</v>
      </c>
      <c r="H5" s="418">
        <v>6</v>
      </c>
      <c r="I5" s="184">
        <v>20</v>
      </c>
      <c r="J5" s="418">
        <v>12</v>
      </c>
      <c r="K5" s="184">
        <v>40</v>
      </c>
      <c r="L5" s="418">
        <v>16</v>
      </c>
    </row>
    <row r="6" spans="1:12" x14ac:dyDescent="0.2">
      <c r="A6" s="422"/>
      <c r="B6" s="426"/>
      <c r="C6" s="427"/>
      <c r="D6" s="185" t="s">
        <v>100</v>
      </c>
      <c r="E6" s="186">
        <v>0</v>
      </c>
      <c r="F6" s="419"/>
      <c r="G6" s="186">
        <v>1</v>
      </c>
      <c r="H6" s="419"/>
      <c r="I6" s="186">
        <v>2</v>
      </c>
      <c r="J6" s="419"/>
      <c r="K6" s="186">
        <v>3</v>
      </c>
      <c r="L6" s="419"/>
    </row>
    <row r="7" spans="1:12" x14ac:dyDescent="0.2">
      <c r="A7" s="422"/>
      <c r="B7" s="426"/>
      <c r="C7" s="427"/>
      <c r="D7" s="185" t="s">
        <v>95</v>
      </c>
      <c r="E7" s="186">
        <v>0</v>
      </c>
      <c r="F7" s="419"/>
      <c r="G7" s="186">
        <v>1</v>
      </c>
      <c r="H7" s="419"/>
      <c r="I7" s="186">
        <v>2</v>
      </c>
      <c r="J7" s="419"/>
      <c r="K7" s="186">
        <v>3</v>
      </c>
      <c r="L7" s="419"/>
    </row>
    <row r="8" spans="1:12" x14ac:dyDescent="0.2">
      <c r="A8" s="422"/>
      <c r="B8" s="426"/>
      <c r="C8" s="427"/>
      <c r="D8" s="187" t="s">
        <v>125</v>
      </c>
      <c r="E8" s="188">
        <v>1</v>
      </c>
      <c r="F8" s="419"/>
      <c r="G8" s="188">
        <v>2</v>
      </c>
      <c r="H8" s="419"/>
      <c r="I8" s="188">
        <v>3</v>
      </c>
      <c r="J8" s="419"/>
      <c r="K8" s="188">
        <v>4</v>
      </c>
      <c r="L8" s="419"/>
    </row>
    <row r="9" spans="1:12" ht="13.5" thickBot="1" x14ac:dyDescent="0.25">
      <c r="A9" s="422"/>
      <c r="B9" s="428"/>
      <c r="C9" s="429"/>
      <c r="D9" s="189" t="s">
        <v>101</v>
      </c>
      <c r="E9" s="190">
        <v>1</v>
      </c>
      <c r="F9" s="419"/>
      <c r="G9" s="190">
        <v>2</v>
      </c>
      <c r="H9" s="419"/>
      <c r="I9" s="190">
        <v>3</v>
      </c>
      <c r="J9" s="419"/>
      <c r="K9" s="190">
        <v>4</v>
      </c>
      <c r="L9" s="419"/>
    </row>
    <row r="10" spans="1:12" x14ac:dyDescent="0.2">
      <c r="A10" s="422"/>
      <c r="B10" s="424" t="s">
        <v>71</v>
      </c>
      <c r="C10" s="425"/>
      <c r="D10" s="183" t="s">
        <v>99</v>
      </c>
      <c r="E10" s="184">
        <v>5</v>
      </c>
      <c r="F10" s="419"/>
      <c r="G10" s="184">
        <v>10</v>
      </c>
      <c r="H10" s="419"/>
      <c r="I10" s="184">
        <v>20</v>
      </c>
      <c r="J10" s="419"/>
      <c r="K10" s="184">
        <v>40</v>
      </c>
      <c r="L10" s="419"/>
    </row>
    <row r="11" spans="1:12" x14ac:dyDescent="0.2">
      <c r="A11" s="422"/>
      <c r="B11" s="426"/>
      <c r="C11" s="427"/>
      <c r="D11" s="185" t="s">
        <v>113</v>
      </c>
      <c r="E11" s="186">
        <v>0</v>
      </c>
      <c r="F11" s="419"/>
      <c r="G11" s="186">
        <v>2</v>
      </c>
      <c r="H11" s="419"/>
      <c r="I11" s="186">
        <v>3</v>
      </c>
      <c r="J11" s="419"/>
      <c r="K11" s="186">
        <v>4</v>
      </c>
      <c r="L11" s="419"/>
    </row>
    <row r="12" spans="1:12" x14ac:dyDescent="0.2">
      <c r="A12" s="422"/>
      <c r="B12" s="426"/>
      <c r="C12" s="427"/>
      <c r="D12" s="185" t="s">
        <v>95</v>
      </c>
      <c r="E12" s="186">
        <v>1</v>
      </c>
      <c r="F12" s="419"/>
      <c r="G12" s="186">
        <v>2</v>
      </c>
      <c r="H12" s="419"/>
      <c r="I12" s="186">
        <v>3</v>
      </c>
      <c r="J12" s="419"/>
      <c r="K12" s="186">
        <v>4</v>
      </c>
      <c r="L12" s="419"/>
    </row>
    <row r="13" spans="1:12" x14ac:dyDescent="0.2">
      <c r="A13" s="422"/>
      <c r="B13" s="426"/>
      <c r="C13" s="427"/>
      <c r="D13" s="187" t="s">
        <v>125</v>
      </c>
      <c r="E13" s="188">
        <v>0</v>
      </c>
      <c r="F13" s="419"/>
      <c r="G13" s="188">
        <v>1</v>
      </c>
      <c r="H13" s="419"/>
      <c r="I13" s="188">
        <v>2</v>
      </c>
      <c r="J13" s="419"/>
      <c r="K13" s="188">
        <v>3</v>
      </c>
      <c r="L13" s="419"/>
    </row>
    <row r="14" spans="1:12" ht="13.5" thickBot="1" x14ac:dyDescent="0.25">
      <c r="A14" s="423"/>
      <c r="B14" s="428"/>
      <c r="C14" s="429"/>
      <c r="D14" s="189" t="s">
        <v>101</v>
      </c>
      <c r="E14" s="190">
        <v>1</v>
      </c>
      <c r="F14" s="420"/>
      <c r="G14" s="190">
        <v>2</v>
      </c>
      <c r="H14" s="420"/>
      <c r="I14" s="190">
        <v>3</v>
      </c>
      <c r="J14" s="420"/>
      <c r="K14" s="190">
        <v>4</v>
      </c>
      <c r="L14" s="420"/>
    </row>
    <row r="15" spans="1:12" ht="13.5" thickBot="1" x14ac:dyDescent="0.25">
      <c r="A15" s="191"/>
      <c r="B15" s="192"/>
      <c r="C15" s="192"/>
      <c r="D15" s="193"/>
      <c r="E15" s="194"/>
      <c r="F15" s="140"/>
      <c r="G15" s="140"/>
      <c r="H15" s="140"/>
      <c r="I15" s="140"/>
      <c r="J15" s="140"/>
      <c r="K15" s="140"/>
      <c r="L15" s="195"/>
    </row>
    <row r="16" spans="1:12" ht="24.75" customHeight="1" thickBot="1" x14ac:dyDescent="0.25">
      <c r="A16" s="196" t="s">
        <v>276</v>
      </c>
      <c r="B16" s="437" t="s">
        <v>72</v>
      </c>
      <c r="C16" s="438"/>
      <c r="D16" s="197" t="s">
        <v>123</v>
      </c>
      <c r="E16" s="198">
        <v>5</v>
      </c>
      <c r="F16" s="144">
        <v>3</v>
      </c>
      <c r="G16" s="199">
        <v>15</v>
      </c>
      <c r="H16" s="144">
        <v>4</v>
      </c>
      <c r="I16" s="199">
        <v>25</v>
      </c>
      <c r="J16" s="144">
        <v>6</v>
      </c>
      <c r="K16" s="199">
        <v>35</v>
      </c>
      <c r="L16" s="144">
        <v>7</v>
      </c>
    </row>
    <row r="17" spans="1:12" x14ac:dyDescent="0.2">
      <c r="A17" s="421" t="s">
        <v>103</v>
      </c>
      <c r="B17" s="424" t="s">
        <v>74</v>
      </c>
      <c r="C17" s="425"/>
      <c r="D17" s="183" t="s">
        <v>122</v>
      </c>
      <c r="E17" s="200">
        <v>2</v>
      </c>
      <c r="F17" s="418">
        <v>2</v>
      </c>
      <c r="G17" s="201">
        <v>4</v>
      </c>
      <c r="H17" s="418">
        <v>7</v>
      </c>
      <c r="I17" s="201">
        <v>7</v>
      </c>
      <c r="J17" s="418">
        <v>12</v>
      </c>
      <c r="K17" s="201">
        <v>10</v>
      </c>
      <c r="L17" s="418">
        <v>16</v>
      </c>
    </row>
    <row r="18" spans="1:12" ht="13.5" thickBot="1" x14ac:dyDescent="0.25">
      <c r="A18" s="423"/>
      <c r="B18" s="428"/>
      <c r="C18" s="429"/>
      <c r="D18" s="189" t="s">
        <v>102</v>
      </c>
      <c r="E18" s="202">
        <v>1</v>
      </c>
      <c r="F18" s="420"/>
      <c r="G18" s="203">
        <v>2</v>
      </c>
      <c r="H18" s="420"/>
      <c r="I18" s="203">
        <v>3</v>
      </c>
      <c r="J18" s="420"/>
      <c r="K18" s="203">
        <v>4</v>
      </c>
      <c r="L18" s="420"/>
    </row>
    <row r="19" spans="1:12" x14ac:dyDescent="0.2">
      <c r="A19" s="421" t="s">
        <v>104</v>
      </c>
      <c r="B19" s="424" t="s">
        <v>73</v>
      </c>
      <c r="C19" s="425"/>
      <c r="D19" s="183" t="s">
        <v>120</v>
      </c>
      <c r="E19" s="200">
        <v>1</v>
      </c>
      <c r="F19" s="418">
        <v>6</v>
      </c>
      <c r="G19" s="201">
        <v>2</v>
      </c>
      <c r="H19" s="418">
        <v>9</v>
      </c>
      <c r="I19" s="201">
        <v>3</v>
      </c>
      <c r="J19" s="418">
        <v>17</v>
      </c>
      <c r="K19" s="201">
        <v>4</v>
      </c>
      <c r="L19" s="418">
        <v>30</v>
      </c>
    </row>
    <row r="20" spans="1:12" ht="13.5" thickBot="1" x14ac:dyDescent="0.25">
      <c r="A20" s="423"/>
      <c r="B20" s="428"/>
      <c r="C20" s="429"/>
      <c r="D20" s="189" t="s">
        <v>118</v>
      </c>
      <c r="E20" s="202">
        <v>1</v>
      </c>
      <c r="F20" s="420"/>
      <c r="G20" s="203">
        <v>2</v>
      </c>
      <c r="H20" s="420"/>
      <c r="I20" s="203">
        <v>3</v>
      </c>
      <c r="J20" s="420"/>
      <c r="K20" s="203">
        <v>4</v>
      </c>
      <c r="L20" s="420"/>
    </row>
    <row r="21" spans="1:12" ht="13.5" thickBot="1" x14ac:dyDescent="0.25">
      <c r="A21" s="421" t="s">
        <v>105</v>
      </c>
      <c r="B21" s="424" t="s">
        <v>78</v>
      </c>
      <c r="C21" s="425"/>
      <c r="D21" s="204" t="s">
        <v>117</v>
      </c>
      <c r="E21" s="205">
        <v>1</v>
      </c>
      <c r="F21" s="418">
        <v>10</v>
      </c>
      <c r="G21" s="206">
        <v>2</v>
      </c>
      <c r="H21" s="418">
        <v>15</v>
      </c>
      <c r="I21" s="206">
        <v>3</v>
      </c>
      <c r="J21" s="418">
        <v>20</v>
      </c>
      <c r="K21" s="206">
        <v>4</v>
      </c>
      <c r="L21" s="418">
        <v>40</v>
      </c>
    </row>
    <row r="22" spans="1:12" ht="13.5" thickBot="1" x14ac:dyDescent="0.25">
      <c r="A22" s="423"/>
      <c r="B22" s="428"/>
      <c r="C22" s="429"/>
      <c r="D22" s="207" t="s">
        <v>118</v>
      </c>
      <c r="E22" s="208">
        <v>1</v>
      </c>
      <c r="F22" s="420"/>
      <c r="G22" s="209">
        <v>2</v>
      </c>
      <c r="H22" s="420"/>
      <c r="I22" s="209">
        <v>3</v>
      </c>
      <c r="J22" s="420"/>
      <c r="K22" s="209">
        <v>4</v>
      </c>
      <c r="L22" s="420"/>
    </row>
    <row r="23" spans="1:12" x14ac:dyDescent="0.2">
      <c r="A23" s="421" t="s">
        <v>106</v>
      </c>
      <c r="B23" s="424" t="s">
        <v>79</v>
      </c>
      <c r="C23" s="425"/>
      <c r="D23" s="183" t="s">
        <v>98</v>
      </c>
      <c r="E23" s="200">
        <v>1</v>
      </c>
      <c r="F23" s="418">
        <v>4</v>
      </c>
      <c r="G23" s="201">
        <v>2</v>
      </c>
      <c r="H23" s="418">
        <v>7</v>
      </c>
      <c r="I23" s="201">
        <v>3</v>
      </c>
      <c r="J23" s="418">
        <v>12</v>
      </c>
      <c r="K23" s="201">
        <v>4</v>
      </c>
      <c r="L23" s="418">
        <v>20</v>
      </c>
    </row>
    <row r="24" spans="1:12" x14ac:dyDescent="0.2">
      <c r="A24" s="422"/>
      <c r="B24" s="426"/>
      <c r="C24" s="427"/>
      <c r="D24" s="185" t="s">
        <v>101</v>
      </c>
      <c r="E24" s="210">
        <v>1</v>
      </c>
      <c r="F24" s="419"/>
      <c r="G24" s="211">
        <v>2</v>
      </c>
      <c r="H24" s="419"/>
      <c r="I24" s="211">
        <v>3</v>
      </c>
      <c r="J24" s="419"/>
      <c r="K24" s="211">
        <v>4</v>
      </c>
      <c r="L24" s="419"/>
    </row>
    <row r="25" spans="1:12" ht="13.5" thickBot="1" x14ac:dyDescent="0.25">
      <c r="A25" s="422"/>
      <c r="B25" s="428"/>
      <c r="C25" s="429"/>
      <c r="D25" s="187" t="s">
        <v>108</v>
      </c>
      <c r="E25" s="210">
        <v>1</v>
      </c>
      <c r="F25" s="419"/>
      <c r="G25" s="140">
        <v>2</v>
      </c>
      <c r="H25" s="419"/>
      <c r="I25" s="140">
        <v>3</v>
      </c>
      <c r="J25" s="419"/>
      <c r="K25" s="140">
        <v>4</v>
      </c>
      <c r="L25" s="419"/>
    </row>
    <row r="26" spans="1:12" x14ac:dyDescent="0.2">
      <c r="A26" s="422"/>
      <c r="B26" s="424" t="s">
        <v>111</v>
      </c>
      <c r="C26" s="425"/>
      <c r="D26" s="183" t="s">
        <v>115</v>
      </c>
      <c r="E26" s="210">
        <v>1</v>
      </c>
      <c r="F26" s="419"/>
      <c r="G26" s="211">
        <v>2</v>
      </c>
      <c r="H26" s="419"/>
      <c r="I26" s="211">
        <v>5</v>
      </c>
      <c r="J26" s="419"/>
      <c r="K26" s="211">
        <v>10</v>
      </c>
      <c r="L26" s="419"/>
    </row>
    <row r="27" spans="1:12" ht="13.5" thickBot="1" x14ac:dyDescent="0.25">
      <c r="A27" s="422"/>
      <c r="B27" s="428"/>
      <c r="C27" s="429"/>
      <c r="D27" s="189" t="s">
        <v>114</v>
      </c>
      <c r="E27" s="210">
        <v>1</v>
      </c>
      <c r="F27" s="419"/>
      <c r="G27" s="140">
        <v>2</v>
      </c>
      <c r="H27" s="419"/>
      <c r="I27" s="140">
        <v>4</v>
      </c>
      <c r="J27" s="419"/>
      <c r="K27" s="140">
        <v>6</v>
      </c>
      <c r="L27" s="419"/>
    </row>
    <row r="28" spans="1:12" ht="13.5" thickBot="1" x14ac:dyDescent="0.25">
      <c r="A28" s="422"/>
      <c r="B28" s="437" t="s">
        <v>84</v>
      </c>
      <c r="C28" s="438"/>
      <c r="D28" s="212" t="s">
        <v>118</v>
      </c>
      <c r="E28" s="213">
        <v>1</v>
      </c>
      <c r="F28" s="419"/>
      <c r="G28" s="211">
        <v>2</v>
      </c>
      <c r="H28" s="419"/>
      <c r="I28" s="211">
        <v>3</v>
      </c>
      <c r="J28" s="419"/>
      <c r="K28" s="211">
        <v>4</v>
      </c>
      <c r="L28" s="419"/>
    </row>
    <row r="29" spans="1:12" x14ac:dyDescent="0.2">
      <c r="A29" s="422"/>
      <c r="B29" s="424" t="s">
        <v>85</v>
      </c>
      <c r="C29" s="425"/>
      <c r="D29" s="183" t="s">
        <v>120</v>
      </c>
      <c r="E29" s="210">
        <v>1</v>
      </c>
      <c r="F29" s="419"/>
      <c r="G29" s="211">
        <v>2</v>
      </c>
      <c r="H29" s="419"/>
      <c r="I29" s="211">
        <v>3</v>
      </c>
      <c r="J29" s="419"/>
      <c r="K29" s="211">
        <v>4</v>
      </c>
      <c r="L29" s="419"/>
    </row>
    <row r="30" spans="1:12" x14ac:dyDescent="0.2">
      <c r="A30" s="422"/>
      <c r="B30" s="426"/>
      <c r="C30" s="427"/>
      <c r="D30" s="185" t="s">
        <v>118</v>
      </c>
      <c r="E30" s="214">
        <v>1</v>
      </c>
      <c r="F30" s="419"/>
      <c r="G30" s="215">
        <v>2</v>
      </c>
      <c r="H30" s="419"/>
      <c r="I30" s="215">
        <v>3</v>
      </c>
      <c r="J30" s="419"/>
      <c r="K30" s="215">
        <v>4</v>
      </c>
      <c r="L30" s="419"/>
    </row>
    <row r="31" spans="1:12" x14ac:dyDescent="0.2">
      <c r="A31" s="422"/>
      <c r="B31" s="426"/>
      <c r="C31" s="427"/>
      <c r="D31" s="185" t="s">
        <v>119</v>
      </c>
      <c r="E31" s="214">
        <v>1</v>
      </c>
      <c r="F31" s="419"/>
      <c r="G31" s="215">
        <v>2</v>
      </c>
      <c r="H31" s="419"/>
      <c r="I31" s="215">
        <v>3</v>
      </c>
      <c r="J31" s="419"/>
      <c r="K31" s="215">
        <v>4</v>
      </c>
      <c r="L31" s="419"/>
    </row>
    <row r="32" spans="1:12" ht="13.5" thickBot="1" x14ac:dyDescent="0.25">
      <c r="A32" s="422"/>
      <c r="B32" s="428"/>
      <c r="C32" s="429"/>
      <c r="D32" s="189" t="s">
        <v>109</v>
      </c>
      <c r="E32" s="214">
        <v>2</v>
      </c>
      <c r="F32" s="419"/>
      <c r="G32" s="215">
        <v>4</v>
      </c>
      <c r="H32" s="419"/>
      <c r="I32" s="215">
        <v>6</v>
      </c>
      <c r="J32" s="419"/>
      <c r="K32" s="215">
        <v>8</v>
      </c>
      <c r="L32" s="419"/>
    </row>
    <row r="33" spans="1:12" x14ac:dyDescent="0.2">
      <c r="A33" s="422"/>
      <c r="B33" s="424" t="s">
        <v>86</v>
      </c>
      <c r="C33" s="425"/>
      <c r="D33" s="183" t="s">
        <v>121</v>
      </c>
      <c r="E33" s="214">
        <v>0</v>
      </c>
      <c r="F33" s="419"/>
      <c r="G33" s="215">
        <v>1</v>
      </c>
      <c r="H33" s="419"/>
      <c r="I33" s="215">
        <v>2</v>
      </c>
      <c r="J33" s="419"/>
      <c r="K33" s="215">
        <v>3</v>
      </c>
      <c r="L33" s="419"/>
    </row>
    <row r="34" spans="1:12" ht="13.5" thickBot="1" x14ac:dyDescent="0.25">
      <c r="A34" s="423"/>
      <c r="B34" s="428"/>
      <c r="C34" s="429"/>
      <c r="D34" s="216" t="s">
        <v>116</v>
      </c>
      <c r="E34" s="202">
        <v>5</v>
      </c>
      <c r="F34" s="420"/>
      <c r="G34" s="203">
        <v>10</v>
      </c>
      <c r="H34" s="420"/>
      <c r="I34" s="203">
        <v>15</v>
      </c>
      <c r="J34" s="420"/>
      <c r="K34" s="203">
        <v>20</v>
      </c>
      <c r="L34" s="420"/>
    </row>
    <row r="35" spans="1:12" ht="13.5" thickBot="1" x14ac:dyDescent="0.25">
      <c r="A35" s="191"/>
      <c r="B35" s="192"/>
      <c r="C35" s="192"/>
      <c r="D35" s="217"/>
      <c r="E35" s="194"/>
      <c r="F35" s="140"/>
      <c r="G35" s="140"/>
      <c r="H35" s="140"/>
      <c r="I35" s="140"/>
      <c r="J35" s="140"/>
      <c r="K35" s="140"/>
      <c r="L35" s="195"/>
    </row>
    <row r="36" spans="1:12" x14ac:dyDescent="0.2">
      <c r="A36" s="421" t="s">
        <v>88</v>
      </c>
      <c r="B36" s="424" t="s">
        <v>69</v>
      </c>
      <c r="C36" s="425"/>
      <c r="D36" s="218" t="s">
        <v>110</v>
      </c>
      <c r="E36" s="200">
        <v>1</v>
      </c>
      <c r="F36" s="418">
        <v>4</v>
      </c>
      <c r="G36" s="201">
        <v>2</v>
      </c>
      <c r="H36" s="418">
        <v>8</v>
      </c>
      <c r="I36" s="201">
        <v>3</v>
      </c>
      <c r="J36" s="418">
        <v>14</v>
      </c>
      <c r="K36" s="201">
        <v>4</v>
      </c>
      <c r="L36" s="418">
        <v>18</v>
      </c>
    </row>
    <row r="37" spans="1:12" x14ac:dyDescent="0.2">
      <c r="A37" s="447"/>
      <c r="B37" s="426"/>
      <c r="C37" s="427"/>
      <c r="D37" s="219" t="s">
        <v>141</v>
      </c>
      <c r="E37" s="210">
        <v>1</v>
      </c>
      <c r="F37" s="419"/>
      <c r="G37" s="211">
        <v>2</v>
      </c>
      <c r="H37" s="419"/>
      <c r="I37" s="211">
        <v>3</v>
      </c>
      <c r="J37" s="419"/>
      <c r="K37" s="211">
        <v>4</v>
      </c>
      <c r="L37" s="419"/>
    </row>
    <row r="38" spans="1:12" ht="13.5" thickBot="1" x14ac:dyDescent="0.25">
      <c r="A38" s="447"/>
      <c r="B38" s="428"/>
      <c r="C38" s="429"/>
      <c r="D38" s="220" t="s">
        <v>142</v>
      </c>
      <c r="E38" s="202">
        <v>5</v>
      </c>
      <c r="F38" s="419"/>
      <c r="G38" s="203">
        <v>10</v>
      </c>
      <c r="H38" s="419"/>
      <c r="I38" s="203">
        <v>20</v>
      </c>
      <c r="J38" s="419"/>
      <c r="K38" s="203">
        <v>40</v>
      </c>
      <c r="L38" s="419"/>
    </row>
    <row r="39" spans="1:12" x14ac:dyDescent="0.2">
      <c r="A39" s="447"/>
      <c r="B39" s="424" t="s">
        <v>70</v>
      </c>
      <c r="C39" s="425"/>
      <c r="D39" s="218" t="s">
        <v>99</v>
      </c>
      <c r="E39" s="213">
        <v>5</v>
      </c>
      <c r="F39" s="419"/>
      <c r="G39" s="221">
        <v>10</v>
      </c>
      <c r="H39" s="419"/>
      <c r="I39" s="221">
        <v>20</v>
      </c>
      <c r="J39" s="419"/>
      <c r="K39" s="221">
        <v>40</v>
      </c>
      <c r="L39" s="419"/>
    </row>
    <row r="40" spans="1:12" ht="13.5" thickBot="1" x14ac:dyDescent="0.25">
      <c r="A40" s="448"/>
      <c r="B40" s="428"/>
      <c r="C40" s="429"/>
      <c r="D40" s="220" t="s">
        <v>97</v>
      </c>
      <c r="E40" s="202">
        <v>1</v>
      </c>
      <c r="F40" s="420"/>
      <c r="G40" s="203">
        <v>3</v>
      </c>
      <c r="H40" s="420"/>
      <c r="I40" s="203">
        <v>5</v>
      </c>
      <c r="J40" s="420"/>
      <c r="K40" s="203">
        <v>7</v>
      </c>
      <c r="L40" s="420"/>
    </row>
    <row r="41" spans="1:12" ht="13.5" thickBot="1" x14ac:dyDescent="0.25">
      <c r="B41" s="192"/>
      <c r="C41" s="192"/>
      <c r="D41" s="217"/>
      <c r="E41" s="194"/>
      <c r="F41" s="140"/>
      <c r="G41" s="140"/>
      <c r="H41" s="140"/>
      <c r="I41" s="140"/>
      <c r="J41" s="140"/>
      <c r="K41" s="140"/>
      <c r="L41" s="195"/>
    </row>
    <row r="42" spans="1:12" x14ac:dyDescent="0.2">
      <c r="A42" s="421" t="s">
        <v>89</v>
      </c>
      <c r="B42" s="443" t="s">
        <v>75</v>
      </c>
      <c r="C42" s="444"/>
      <c r="D42" s="218" t="s">
        <v>116</v>
      </c>
      <c r="E42" s="200">
        <v>5</v>
      </c>
      <c r="F42" s="418">
        <v>2</v>
      </c>
      <c r="G42" s="201">
        <v>10</v>
      </c>
      <c r="H42" s="418">
        <v>6</v>
      </c>
      <c r="I42" s="201">
        <v>15</v>
      </c>
      <c r="J42" s="418">
        <v>12</v>
      </c>
      <c r="K42" s="201">
        <v>25</v>
      </c>
      <c r="L42" s="418">
        <v>15</v>
      </c>
    </row>
    <row r="43" spans="1:12" x14ac:dyDescent="0.2">
      <c r="A43" s="422"/>
      <c r="B43" s="432" t="s">
        <v>124</v>
      </c>
      <c r="C43" s="433"/>
      <c r="D43" s="222" t="s">
        <v>116</v>
      </c>
      <c r="E43" s="194">
        <v>3</v>
      </c>
      <c r="F43" s="419"/>
      <c r="G43" s="140">
        <v>5</v>
      </c>
      <c r="H43" s="419"/>
      <c r="I43" s="140">
        <v>7</v>
      </c>
      <c r="J43" s="419"/>
      <c r="K43" s="140">
        <v>10</v>
      </c>
      <c r="L43" s="419"/>
    </row>
    <row r="44" spans="1:12" ht="13.5" thickBot="1" x14ac:dyDescent="0.25">
      <c r="A44" s="423"/>
      <c r="B44" s="445" t="s">
        <v>76</v>
      </c>
      <c r="C44" s="446"/>
      <c r="D44" s="220" t="s">
        <v>140</v>
      </c>
      <c r="E44" s="202">
        <v>0</v>
      </c>
      <c r="F44" s="420"/>
      <c r="G44" s="203">
        <v>1</v>
      </c>
      <c r="H44" s="420"/>
      <c r="I44" s="203">
        <v>2</v>
      </c>
      <c r="J44" s="420"/>
      <c r="K44" s="203">
        <v>3</v>
      </c>
      <c r="L44" s="420"/>
    </row>
    <row r="45" spans="1:12" ht="13.5" thickBot="1" x14ac:dyDescent="0.25">
      <c r="A45" s="191"/>
      <c r="B45" s="192"/>
      <c r="C45" s="192"/>
      <c r="D45" s="217"/>
      <c r="E45" s="194"/>
      <c r="F45" s="140"/>
      <c r="G45" s="140"/>
      <c r="H45" s="140"/>
      <c r="I45" s="140"/>
      <c r="J45" s="140"/>
      <c r="K45" s="140"/>
      <c r="L45" s="195"/>
    </row>
    <row r="46" spans="1:12" x14ac:dyDescent="0.2">
      <c r="A46" s="421" t="s">
        <v>6</v>
      </c>
      <c r="B46" s="434" t="s">
        <v>112</v>
      </c>
      <c r="C46" s="435"/>
      <c r="D46" s="218" t="s">
        <v>116</v>
      </c>
      <c r="E46" s="200">
        <v>5</v>
      </c>
      <c r="F46" s="418">
        <v>5</v>
      </c>
      <c r="G46" s="201">
        <v>20</v>
      </c>
      <c r="H46" s="418">
        <v>9</v>
      </c>
      <c r="I46" s="201">
        <v>35</v>
      </c>
      <c r="J46" s="418">
        <v>16</v>
      </c>
      <c r="K46" s="201">
        <v>50</v>
      </c>
      <c r="L46" s="418">
        <v>24</v>
      </c>
    </row>
    <row r="47" spans="1:12" x14ac:dyDescent="0.2">
      <c r="A47" s="422"/>
      <c r="B47" s="432" t="s">
        <v>90</v>
      </c>
      <c r="C47" s="436"/>
      <c r="D47" s="219" t="s">
        <v>139</v>
      </c>
      <c r="E47" s="210">
        <v>2</v>
      </c>
      <c r="F47" s="419"/>
      <c r="G47" s="211">
        <v>3</v>
      </c>
      <c r="H47" s="419"/>
      <c r="I47" s="211">
        <v>4</v>
      </c>
      <c r="J47" s="419"/>
      <c r="K47" s="211">
        <v>5</v>
      </c>
      <c r="L47" s="419"/>
    </row>
    <row r="48" spans="1:12" ht="13.5" thickBot="1" x14ac:dyDescent="0.25">
      <c r="A48" s="423"/>
      <c r="B48" s="445" t="s">
        <v>87</v>
      </c>
      <c r="C48" s="446"/>
      <c r="D48" s="220" t="s">
        <v>116</v>
      </c>
      <c r="E48" s="202">
        <v>50</v>
      </c>
      <c r="F48" s="420"/>
      <c r="G48" s="203">
        <v>100</v>
      </c>
      <c r="H48" s="420"/>
      <c r="I48" s="203">
        <v>150</v>
      </c>
      <c r="J48" s="420"/>
      <c r="K48" s="203">
        <v>200</v>
      </c>
      <c r="L48" s="420"/>
    </row>
    <row r="49" spans="1:12" ht="13.5" thickBot="1" x14ac:dyDescent="0.25">
      <c r="A49" s="191"/>
      <c r="B49" s="192"/>
      <c r="C49" s="192"/>
      <c r="E49" s="194"/>
      <c r="F49" s="140"/>
      <c r="G49" s="140"/>
      <c r="H49" s="140"/>
      <c r="I49" s="140"/>
      <c r="J49" s="140"/>
      <c r="K49" s="140"/>
      <c r="L49" s="195"/>
    </row>
    <row r="50" spans="1:12" x14ac:dyDescent="0.2">
      <c r="A50" s="421" t="s">
        <v>80</v>
      </c>
      <c r="B50" s="443" t="s">
        <v>81</v>
      </c>
      <c r="C50" s="444"/>
      <c r="D50" s="223"/>
      <c r="E50" s="200"/>
      <c r="F50" s="418">
        <v>4</v>
      </c>
      <c r="G50" s="201"/>
      <c r="H50" s="418">
        <v>7</v>
      </c>
      <c r="I50" s="201"/>
      <c r="J50" s="418">
        <v>12</v>
      </c>
      <c r="K50" s="201"/>
      <c r="L50" s="418">
        <v>18</v>
      </c>
    </row>
    <row r="51" spans="1:12" x14ac:dyDescent="0.2">
      <c r="A51" s="422"/>
      <c r="B51" s="432" t="s">
        <v>82</v>
      </c>
      <c r="C51" s="433"/>
      <c r="D51" s="224"/>
      <c r="E51" s="210"/>
      <c r="F51" s="419"/>
      <c r="G51" s="211"/>
      <c r="H51" s="419"/>
      <c r="I51" s="211"/>
      <c r="J51" s="419"/>
      <c r="K51" s="211"/>
      <c r="L51" s="419"/>
    </row>
    <row r="52" spans="1:12" ht="13.5" thickBot="1" x14ac:dyDescent="0.25">
      <c r="A52" s="423"/>
      <c r="B52" s="445" t="s">
        <v>83</v>
      </c>
      <c r="C52" s="446"/>
      <c r="D52" s="225"/>
      <c r="E52" s="202"/>
      <c r="F52" s="420"/>
      <c r="G52" s="203"/>
      <c r="H52" s="420"/>
      <c r="I52" s="203"/>
      <c r="J52" s="420"/>
      <c r="K52" s="203"/>
      <c r="L52" s="420"/>
    </row>
    <row r="53" spans="1:12" ht="13.5" thickBot="1" x14ac:dyDescent="0.25">
      <c r="A53" s="191"/>
      <c r="B53" s="192"/>
      <c r="C53" s="192"/>
      <c r="D53" s="226"/>
      <c r="E53" s="194"/>
      <c r="F53" s="140"/>
      <c r="G53" s="140"/>
      <c r="H53" s="140"/>
      <c r="I53" s="140"/>
      <c r="J53" s="140"/>
      <c r="K53" s="140"/>
      <c r="L53" s="195"/>
    </row>
    <row r="54" spans="1:12" x14ac:dyDescent="0.2">
      <c r="A54" s="440" t="s">
        <v>138</v>
      </c>
      <c r="B54" s="424" t="s">
        <v>137</v>
      </c>
      <c r="C54" s="425"/>
      <c r="D54" s="227" t="s">
        <v>132</v>
      </c>
      <c r="E54" s="228">
        <v>1</v>
      </c>
      <c r="F54" s="418">
        <v>2</v>
      </c>
      <c r="G54" s="201">
        <v>2</v>
      </c>
      <c r="H54" s="418">
        <v>6</v>
      </c>
      <c r="I54" s="201">
        <v>4</v>
      </c>
      <c r="J54" s="418">
        <v>14</v>
      </c>
      <c r="K54" s="201">
        <v>8</v>
      </c>
      <c r="L54" s="418">
        <v>32</v>
      </c>
    </row>
    <row r="55" spans="1:12" x14ac:dyDescent="0.2">
      <c r="A55" s="441"/>
      <c r="B55" s="426"/>
      <c r="C55" s="427"/>
      <c r="D55" s="229" t="s">
        <v>133</v>
      </c>
      <c r="E55" s="230">
        <v>7</v>
      </c>
      <c r="F55" s="419"/>
      <c r="G55" s="211">
        <v>14</v>
      </c>
      <c r="H55" s="419"/>
      <c r="I55" s="211">
        <v>28</v>
      </c>
      <c r="J55" s="419"/>
      <c r="K55" s="211">
        <v>35</v>
      </c>
      <c r="L55" s="419"/>
    </row>
    <row r="56" spans="1:12" x14ac:dyDescent="0.2">
      <c r="A56" s="441"/>
      <c r="B56" s="426"/>
      <c r="C56" s="427"/>
      <c r="D56" s="229" t="s">
        <v>135</v>
      </c>
      <c r="E56" s="230">
        <v>1</v>
      </c>
      <c r="F56" s="419"/>
      <c r="G56" s="211">
        <v>3</v>
      </c>
      <c r="H56" s="419"/>
      <c r="I56" s="211">
        <v>5</v>
      </c>
      <c r="J56" s="419"/>
      <c r="K56" s="211">
        <v>7</v>
      </c>
      <c r="L56" s="419"/>
    </row>
    <row r="57" spans="1:12" ht="13.5" thickBot="1" x14ac:dyDescent="0.25">
      <c r="A57" s="442"/>
      <c r="B57" s="428"/>
      <c r="C57" s="429"/>
      <c r="D57" s="231" t="s">
        <v>134</v>
      </c>
      <c r="E57" s="232">
        <v>0</v>
      </c>
      <c r="F57" s="420"/>
      <c r="G57" s="203">
        <v>1</v>
      </c>
      <c r="H57" s="420"/>
      <c r="I57" s="203">
        <v>2</v>
      </c>
      <c r="J57" s="420"/>
      <c r="K57" s="203">
        <v>3</v>
      </c>
      <c r="L57" s="420"/>
    </row>
    <row r="58" spans="1:12" x14ac:dyDescent="0.2">
      <c r="A58" s="424" t="s">
        <v>143</v>
      </c>
      <c r="B58" s="424" t="s">
        <v>77</v>
      </c>
      <c r="C58" s="425"/>
      <c r="D58" s="227" t="s">
        <v>132</v>
      </c>
      <c r="E58" s="228">
        <v>1</v>
      </c>
      <c r="F58" s="418">
        <v>4</v>
      </c>
      <c r="G58" s="201">
        <v>2</v>
      </c>
      <c r="H58" s="418">
        <v>8</v>
      </c>
      <c r="I58" s="201">
        <v>4</v>
      </c>
      <c r="J58" s="418">
        <v>16</v>
      </c>
      <c r="K58" s="233">
        <v>8</v>
      </c>
      <c r="L58" s="418">
        <v>30</v>
      </c>
    </row>
    <row r="59" spans="1:12" x14ac:dyDescent="0.2">
      <c r="A59" s="426"/>
      <c r="B59" s="426"/>
      <c r="C59" s="427"/>
      <c r="D59" s="229" t="s">
        <v>133</v>
      </c>
      <c r="E59" s="230">
        <v>5</v>
      </c>
      <c r="F59" s="419"/>
      <c r="G59" s="211">
        <v>16</v>
      </c>
      <c r="H59" s="419"/>
      <c r="I59" s="211">
        <v>30</v>
      </c>
      <c r="J59" s="419"/>
      <c r="K59" s="234">
        <v>40</v>
      </c>
      <c r="L59" s="419"/>
    </row>
    <row r="60" spans="1:12" x14ac:dyDescent="0.2">
      <c r="A60" s="426"/>
      <c r="B60" s="426"/>
      <c r="C60" s="427"/>
      <c r="D60" s="229" t="s">
        <v>135</v>
      </c>
      <c r="E60" s="230">
        <v>1</v>
      </c>
      <c r="F60" s="419"/>
      <c r="G60" s="211">
        <v>3</v>
      </c>
      <c r="H60" s="419"/>
      <c r="I60" s="211">
        <v>5</v>
      </c>
      <c r="J60" s="419"/>
      <c r="K60" s="234">
        <v>7</v>
      </c>
      <c r="L60" s="419"/>
    </row>
    <row r="61" spans="1:12" x14ac:dyDescent="0.2">
      <c r="A61" s="426"/>
      <c r="B61" s="426"/>
      <c r="C61" s="427"/>
      <c r="D61" s="229" t="s">
        <v>136</v>
      </c>
      <c r="E61" s="230">
        <v>0</v>
      </c>
      <c r="F61" s="419"/>
      <c r="G61" s="211">
        <v>1</v>
      </c>
      <c r="H61" s="419"/>
      <c r="I61" s="211">
        <v>2</v>
      </c>
      <c r="J61" s="419"/>
      <c r="K61" s="234">
        <v>3</v>
      </c>
      <c r="L61" s="419"/>
    </row>
    <row r="62" spans="1:12" ht="13.5" thickBot="1" x14ac:dyDescent="0.25">
      <c r="A62" s="426"/>
      <c r="B62" s="428"/>
      <c r="C62" s="429"/>
      <c r="D62" s="231" t="s">
        <v>134</v>
      </c>
      <c r="E62" s="232">
        <v>0</v>
      </c>
      <c r="F62" s="419"/>
      <c r="G62" s="203">
        <v>1</v>
      </c>
      <c r="H62" s="419"/>
      <c r="I62" s="203">
        <v>2</v>
      </c>
      <c r="J62" s="419"/>
      <c r="K62" s="235">
        <v>3</v>
      </c>
      <c r="L62" s="419"/>
    </row>
    <row r="63" spans="1:12" ht="13.5" thickBot="1" x14ac:dyDescent="0.25">
      <c r="A63" s="428"/>
      <c r="B63" s="439" t="s">
        <v>67</v>
      </c>
      <c r="C63" s="438"/>
      <c r="D63" s="236"/>
      <c r="E63" s="237">
        <v>1</v>
      </c>
      <c r="F63" s="420"/>
      <c r="G63" s="206">
        <v>2</v>
      </c>
      <c r="H63" s="420"/>
      <c r="I63" s="206">
        <v>3</v>
      </c>
      <c r="J63" s="420"/>
      <c r="K63" s="206">
        <v>4</v>
      </c>
      <c r="L63" s="420"/>
    </row>
    <row r="67" spans="1:6" x14ac:dyDescent="0.2">
      <c r="A67" s="238" t="s">
        <v>24</v>
      </c>
      <c r="B67" s="171"/>
    </row>
    <row r="68" spans="1:6" x14ac:dyDescent="0.2">
      <c r="A68" s="239" t="s">
        <v>25</v>
      </c>
      <c r="B68" s="179"/>
    </row>
    <row r="69" spans="1:6" x14ac:dyDescent="0.2">
      <c r="A69" s="239" t="s">
        <v>267</v>
      </c>
      <c r="B69" s="180"/>
    </row>
    <row r="70" spans="1:6" x14ac:dyDescent="0.2">
      <c r="F70" s="143"/>
    </row>
  </sheetData>
  <sheetProtection password="EBD9" sheet="1"/>
  <mergeCells count="85">
    <mergeCell ref="A36:A40"/>
    <mergeCell ref="B36:C38"/>
    <mergeCell ref="B39:C40"/>
    <mergeCell ref="J46:J48"/>
    <mergeCell ref="J23:J34"/>
    <mergeCell ref="A42:A44"/>
    <mergeCell ref="B42:C42"/>
    <mergeCell ref="A46:A48"/>
    <mergeCell ref="A23:A34"/>
    <mergeCell ref="F42:F44"/>
    <mergeCell ref="H42:H44"/>
    <mergeCell ref="B48:C48"/>
    <mergeCell ref="F46:F48"/>
    <mergeCell ref="B44:C44"/>
    <mergeCell ref="J36:J40"/>
    <mergeCell ref="J42:J44"/>
    <mergeCell ref="A17:A18"/>
    <mergeCell ref="F23:F34"/>
    <mergeCell ref="H23:H34"/>
    <mergeCell ref="B26:C27"/>
    <mergeCell ref="B19:C20"/>
    <mergeCell ref="B17:C18"/>
    <mergeCell ref="B29:C32"/>
    <mergeCell ref="F17:F18"/>
    <mergeCell ref="F19:F20"/>
    <mergeCell ref="A21:A22"/>
    <mergeCell ref="A19:A20"/>
    <mergeCell ref="H17:H18"/>
    <mergeCell ref="B21:C22"/>
    <mergeCell ref="B28:C28"/>
    <mergeCell ref="B33:C34"/>
    <mergeCell ref="L50:L52"/>
    <mergeCell ref="A50:A52"/>
    <mergeCell ref="B50:C50"/>
    <mergeCell ref="B51:C51"/>
    <mergeCell ref="B52:C52"/>
    <mergeCell ref="F50:F52"/>
    <mergeCell ref="H50:H52"/>
    <mergeCell ref="J50:J52"/>
    <mergeCell ref="B63:C63"/>
    <mergeCell ref="B58:C62"/>
    <mergeCell ref="B54:C57"/>
    <mergeCell ref="A54:A57"/>
    <mergeCell ref="A58:A63"/>
    <mergeCell ref="B43:C43"/>
    <mergeCell ref="B10:C14"/>
    <mergeCell ref="F5:F14"/>
    <mergeCell ref="H5:H14"/>
    <mergeCell ref="L46:L48"/>
    <mergeCell ref="L21:L22"/>
    <mergeCell ref="H19:H20"/>
    <mergeCell ref="H21:H22"/>
    <mergeCell ref="B46:C46"/>
    <mergeCell ref="H46:H48"/>
    <mergeCell ref="F36:F40"/>
    <mergeCell ref="H36:H40"/>
    <mergeCell ref="B23:C25"/>
    <mergeCell ref="B47:C47"/>
    <mergeCell ref="B16:C16"/>
    <mergeCell ref="L23:L34"/>
    <mergeCell ref="L42:L44"/>
    <mergeCell ref="J5:J14"/>
    <mergeCell ref="L5:L14"/>
    <mergeCell ref="F21:F22"/>
    <mergeCell ref="E3:F3"/>
    <mergeCell ref="G3:H3"/>
    <mergeCell ref="I3:J3"/>
    <mergeCell ref="K3:L3"/>
    <mergeCell ref="J21:J22"/>
    <mergeCell ref="A1:L1"/>
    <mergeCell ref="J54:J57"/>
    <mergeCell ref="L54:L57"/>
    <mergeCell ref="F58:F63"/>
    <mergeCell ref="H58:H63"/>
    <mergeCell ref="J58:J63"/>
    <mergeCell ref="L58:L63"/>
    <mergeCell ref="F54:F57"/>
    <mergeCell ref="H54:H57"/>
    <mergeCell ref="A5:A14"/>
    <mergeCell ref="B5:C9"/>
    <mergeCell ref="L36:L40"/>
    <mergeCell ref="J17:J18"/>
    <mergeCell ref="J19:J20"/>
    <mergeCell ref="L17:L18"/>
    <mergeCell ref="L19:L20"/>
  </mergeCells>
  <phoneticPr fontId="13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/>
    <pageSetUpPr fitToPage="1"/>
  </sheetPr>
  <dimension ref="A1:AW26"/>
  <sheetViews>
    <sheetView zoomScaleNormal="100" workbookViewId="0">
      <selection sqref="A1:O1"/>
    </sheetView>
  </sheetViews>
  <sheetFormatPr defaultColWidth="9.140625" defaultRowHeight="12.75" x14ac:dyDescent="0.2"/>
  <cols>
    <col min="1" max="1" width="14.7109375" style="239" customWidth="1"/>
    <col min="2" max="2" width="11" style="239" customWidth="1"/>
    <col min="3" max="5" width="9.140625" style="239"/>
    <col min="6" max="6" width="15.42578125" style="239" customWidth="1"/>
    <col min="7" max="10" width="9.140625" style="239"/>
    <col min="11" max="11" width="14.5703125" style="239" customWidth="1"/>
    <col min="12" max="15" width="9.140625" style="239"/>
    <col min="16" max="49" width="8.85546875" style="146" customWidth="1"/>
    <col min="50" max="16384" width="9.140625" style="239"/>
  </cols>
  <sheetData>
    <row r="1" spans="1:49" ht="16.5" customHeight="1" thickBot="1" x14ac:dyDescent="0.25">
      <c r="A1" s="415" t="s">
        <v>3</v>
      </c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7"/>
    </row>
    <row r="2" spans="1:49" ht="13.5" thickBot="1" x14ac:dyDescent="0.25">
      <c r="A2" s="240"/>
      <c r="B2" s="241"/>
      <c r="C2" s="241"/>
      <c r="D2" s="241"/>
      <c r="E2" s="241"/>
      <c r="F2" s="238" t="s">
        <v>29</v>
      </c>
    </row>
    <row r="3" spans="1:49" ht="13.5" thickBot="1" x14ac:dyDescent="0.25">
      <c r="A3" s="241"/>
      <c r="B3" s="241"/>
      <c r="C3" s="241"/>
      <c r="D3" s="241"/>
      <c r="F3" s="240" t="s">
        <v>32</v>
      </c>
      <c r="G3" s="267">
        <v>1</v>
      </c>
      <c r="H3" s="238" t="s">
        <v>35</v>
      </c>
    </row>
    <row r="4" spans="1:49" ht="13.5" thickBot="1" x14ac:dyDescent="0.25">
      <c r="A4" s="241"/>
      <c r="B4" s="241"/>
      <c r="C4" s="241"/>
      <c r="D4" s="241"/>
      <c r="F4" s="240" t="s">
        <v>33</v>
      </c>
      <c r="G4" s="267">
        <v>0.66</v>
      </c>
      <c r="H4" s="238" t="s">
        <v>30</v>
      </c>
    </row>
    <row r="5" spans="1:49" ht="13.5" thickBot="1" x14ac:dyDescent="0.25">
      <c r="A5" s="241"/>
      <c r="B5" s="241"/>
      <c r="C5" s="241"/>
      <c r="D5" s="241"/>
      <c r="F5" s="240" t="s">
        <v>34</v>
      </c>
      <c r="G5" s="267">
        <v>0.33</v>
      </c>
      <c r="H5" s="238" t="s">
        <v>50</v>
      </c>
    </row>
    <row r="6" spans="1:49" x14ac:dyDescent="0.2">
      <c r="A6" s="241"/>
      <c r="B6" s="241"/>
      <c r="C6" s="241"/>
      <c r="D6" s="241"/>
      <c r="E6" s="241"/>
    </row>
    <row r="7" spans="1:49" ht="13.5" thickBot="1" x14ac:dyDescent="0.25">
      <c r="B7" s="240" t="s">
        <v>43</v>
      </c>
      <c r="C7" s="240"/>
      <c r="D7" s="241"/>
      <c r="E7" s="241"/>
    </row>
    <row r="8" spans="1:49" s="238" customFormat="1" ht="13.5" thickBot="1" x14ac:dyDescent="0.25">
      <c r="A8" s="242" t="s">
        <v>7</v>
      </c>
      <c r="B8" s="243">
        <v>1</v>
      </c>
      <c r="C8" s="244">
        <v>2</v>
      </c>
      <c r="D8" s="244">
        <v>3</v>
      </c>
      <c r="E8" s="244">
        <v>4</v>
      </c>
      <c r="F8" s="242" t="s">
        <v>8</v>
      </c>
      <c r="G8" s="243" t="s">
        <v>5</v>
      </c>
      <c r="H8" s="244" t="s">
        <v>0</v>
      </c>
      <c r="I8" s="244" t="s">
        <v>1</v>
      </c>
      <c r="J8" s="245" t="s">
        <v>2</v>
      </c>
      <c r="K8" s="242" t="s">
        <v>9</v>
      </c>
      <c r="L8" s="243" t="s">
        <v>5</v>
      </c>
      <c r="M8" s="244" t="s">
        <v>0</v>
      </c>
      <c r="N8" s="244" t="s">
        <v>1</v>
      </c>
      <c r="O8" s="245" t="s">
        <v>2</v>
      </c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6"/>
      <c r="AE8" s="146"/>
      <c r="AF8" s="146"/>
      <c r="AG8" s="146"/>
      <c r="AH8" s="146"/>
      <c r="AI8" s="146"/>
      <c r="AJ8" s="146"/>
      <c r="AK8" s="146"/>
      <c r="AL8" s="146"/>
      <c r="AM8" s="146"/>
      <c r="AN8" s="146"/>
      <c r="AO8" s="146"/>
      <c r="AP8" s="146"/>
      <c r="AQ8" s="146"/>
      <c r="AR8" s="146"/>
      <c r="AS8" s="146"/>
      <c r="AT8" s="146"/>
      <c r="AU8" s="146"/>
      <c r="AV8" s="146"/>
      <c r="AW8" s="146"/>
    </row>
    <row r="9" spans="1:49" x14ac:dyDescent="0.2">
      <c r="A9" s="246" t="s">
        <v>107</v>
      </c>
      <c r="B9" s="247">
        <f>Criteria!F5</f>
        <v>3</v>
      </c>
      <c r="C9" s="248">
        <f>Criteria!H5</f>
        <v>6</v>
      </c>
      <c r="D9" s="248">
        <f>Criteria!J5</f>
        <v>12</v>
      </c>
      <c r="E9" s="248">
        <f>Criteria!L5</f>
        <v>16</v>
      </c>
      <c r="F9" s="249" t="s">
        <v>107</v>
      </c>
      <c r="G9" s="250">
        <f xml:space="preserve"> B9 * Change_Pct</f>
        <v>1.98</v>
      </c>
      <c r="H9" s="251">
        <f t="shared" ref="H9:J15" si="0" xml:space="preserve"> C9 * Change_Pct</f>
        <v>3.96</v>
      </c>
      <c r="I9" s="251">
        <f t="shared" si="0"/>
        <v>7.92</v>
      </c>
      <c r="J9" s="252">
        <f t="shared" si="0"/>
        <v>10.56</v>
      </c>
      <c r="K9" s="226" t="s">
        <v>107</v>
      </c>
      <c r="L9" s="250">
        <f xml:space="preserve"> B9 *Rep_Pct</f>
        <v>0.99</v>
      </c>
      <c r="M9" s="251">
        <f t="shared" ref="M9:O15" si="1" xml:space="preserve"> C9 *Rep_Pct</f>
        <v>1.98</v>
      </c>
      <c r="N9" s="251">
        <f t="shared" si="1"/>
        <v>3.96</v>
      </c>
      <c r="O9" s="252">
        <f t="shared" si="1"/>
        <v>5.28</v>
      </c>
    </row>
    <row r="10" spans="1:49" x14ac:dyDescent="0.2">
      <c r="A10" s="246" t="s">
        <v>126</v>
      </c>
      <c r="B10" s="253">
        <f>Criteria!F16</f>
        <v>3</v>
      </c>
      <c r="C10" s="254">
        <f>Criteria!H16</f>
        <v>4</v>
      </c>
      <c r="D10" s="254">
        <f>Criteria!J16</f>
        <v>6</v>
      </c>
      <c r="E10" s="254">
        <f>Criteria!L16</f>
        <v>7</v>
      </c>
      <c r="F10" s="249" t="s">
        <v>126</v>
      </c>
      <c r="G10" s="255">
        <f t="shared" ref="G10:G15" si="2" xml:space="preserve"> B10 * Change_Pct</f>
        <v>1.98</v>
      </c>
      <c r="H10" s="256">
        <f t="shared" si="0"/>
        <v>2.64</v>
      </c>
      <c r="I10" s="256">
        <f t="shared" si="0"/>
        <v>3.96</v>
      </c>
      <c r="J10" s="257">
        <f t="shared" si="0"/>
        <v>4.62</v>
      </c>
      <c r="K10" s="226" t="s">
        <v>126</v>
      </c>
      <c r="L10" s="255">
        <f t="shared" ref="L10:L15" si="3" xml:space="preserve"> B10 *Rep_Pct</f>
        <v>0.99</v>
      </c>
      <c r="M10" s="256">
        <f t="shared" si="1"/>
        <v>1.32</v>
      </c>
      <c r="N10" s="256">
        <f t="shared" si="1"/>
        <v>1.98</v>
      </c>
      <c r="O10" s="257">
        <f t="shared" si="1"/>
        <v>2.31</v>
      </c>
    </row>
    <row r="11" spans="1:49" x14ac:dyDescent="0.2">
      <c r="A11" s="246" t="s">
        <v>127</v>
      </c>
      <c r="B11" s="253">
        <f>Criteria!F17</f>
        <v>2</v>
      </c>
      <c r="C11" s="254">
        <f>Criteria!H17</f>
        <v>7</v>
      </c>
      <c r="D11" s="254">
        <f>Criteria!J17</f>
        <v>12</v>
      </c>
      <c r="E11" s="254">
        <f>Criteria!L17</f>
        <v>16</v>
      </c>
      <c r="F11" s="249" t="s">
        <v>127</v>
      </c>
      <c r="G11" s="255">
        <f t="shared" si="2"/>
        <v>1.32</v>
      </c>
      <c r="H11" s="256">
        <f t="shared" si="0"/>
        <v>4.62</v>
      </c>
      <c r="I11" s="256">
        <f t="shared" si="0"/>
        <v>7.92</v>
      </c>
      <c r="J11" s="257">
        <f t="shared" si="0"/>
        <v>10.56</v>
      </c>
      <c r="K11" s="226" t="s">
        <v>127</v>
      </c>
      <c r="L11" s="255">
        <f t="shared" si="3"/>
        <v>0.66</v>
      </c>
      <c r="M11" s="256">
        <f t="shared" si="1"/>
        <v>2.31</v>
      </c>
      <c r="N11" s="256">
        <f t="shared" si="1"/>
        <v>3.96</v>
      </c>
      <c r="O11" s="257">
        <f t="shared" si="1"/>
        <v>5.28</v>
      </c>
    </row>
    <row r="12" spans="1:49" x14ac:dyDescent="0.2">
      <c r="A12" s="246" t="s">
        <v>128</v>
      </c>
      <c r="B12" s="253">
        <f>Criteria!F19</f>
        <v>6</v>
      </c>
      <c r="C12" s="254">
        <f>Criteria!H19</f>
        <v>9</v>
      </c>
      <c r="D12" s="254">
        <f>Criteria!J19</f>
        <v>17</v>
      </c>
      <c r="E12" s="254">
        <f>Criteria!L19</f>
        <v>30</v>
      </c>
      <c r="F12" s="249" t="s">
        <v>128</v>
      </c>
      <c r="G12" s="255">
        <f t="shared" si="2"/>
        <v>3.96</v>
      </c>
      <c r="H12" s="256">
        <f t="shared" si="0"/>
        <v>5.94</v>
      </c>
      <c r="I12" s="256">
        <f t="shared" si="0"/>
        <v>11.22</v>
      </c>
      <c r="J12" s="257">
        <f t="shared" si="0"/>
        <v>19.8</v>
      </c>
      <c r="K12" s="226" t="s">
        <v>128</v>
      </c>
      <c r="L12" s="255">
        <f t="shared" si="3"/>
        <v>1.98</v>
      </c>
      <c r="M12" s="256">
        <f t="shared" si="1"/>
        <v>2.97</v>
      </c>
      <c r="N12" s="256">
        <f t="shared" si="1"/>
        <v>5.61</v>
      </c>
      <c r="O12" s="257">
        <f t="shared" si="1"/>
        <v>9.9</v>
      </c>
    </row>
    <row r="13" spans="1:49" x14ac:dyDescent="0.2">
      <c r="A13" s="246" t="s">
        <v>129</v>
      </c>
      <c r="B13" s="253">
        <f>Criteria!F21</f>
        <v>10</v>
      </c>
      <c r="C13" s="254">
        <f>Criteria!H21</f>
        <v>15</v>
      </c>
      <c r="D13" s="254">
        <f>Criteria!J21</f>
        <v>20</v>
      </c>
      <c r="E13" s="254">
        <f>Criteria!L21</f>
        <v>40</v>
      </c>
      <c r="F13" s="249" t="s">
        <v>129</v>
      </c>
      <c r="G13" s="255">
        <f t="shared" si="2"/>
        <v>6.6000000000000005</v>
      </c>
      <c r="H13" s="256">
        <f t="shared" si="0"/>
        <v>9.9</v>
      </c>
      <c r="I13" s="256">
        <f t="shared" si="0"/>
        <v>13.200000000000001</v>
      </c>
      <c r="J13" s="257">
        <f t="shared" si="0"/>
        <v>26.400000000000002</v>
      </c>
      <c r="K13" s="226" t="s">
        <v>129</v>
      </c>
      <c r="L13" s="255">
        <f t="shared" si="3"/>
        <v>3.3000000000000003</v>
      </c>
      <c r="M13" s="256">
        <f t="shared" si="1"/>
        <v>4.95</v>
      </c>
      <c r="N13" s="256">
        <f t="shared" si="1"/>
        <v>6.6000000000000005</v>
      </c>
      <c r="O13" s="257">
        <f t="shared" si="1"/>
        <v>13.200000000000001</v>
      </c>
    </row>
    <row r="14" spans="1:49" x14ac:dyDescent="0.2">
      <c r="A14" s="246" t="s">
        <v>106</v>
      </c>
      <c r="B14" s="253">
        <f>Criteria!F23</f>
        <v>4</v>
      </c>
      <c r="C14" s="254">
        <f>Criteria!H23</f>
        <v>7</v>
      </c>
      <c r="D14" s="254">
        <f>Criteria!J23</f>
        <v>12</v>
      </c>
      <c r="E14" s="254">
        <f>Criteria!L23</f>
        <v>20</v>
      </c>
      <c r="F14" s="249" t="s">
        <v>106</v>
      </c>
      <c r="G14" s="255">
        <f t="shared" si="2"/>
        <v>2.64</v>
      </c>
      <c r="H14" s="256">
        <f t="shared" si="0"/>
        <v>4.62</v>
      </c>
      <c r="I14" s="256">
        <f t="shared" si="0"/>
        <v>7.92</v>
      </c>
      <c r="J14" s="257">
        <f t="shared" si="0"/>
        <v>13.200000000000001</v>
      </c>
      <c r="K14" s="226" t="s">
        <v>106</v>
      </c>
      <c r="L14" s="255">
        <f t="shared" si="3"/>
        <v>1.32</v>
      </c>
      <c r="M14" s="256">
        <f t="shared" si="1"/>
        <v>2.31</v>
      </c>
      <c r="N14" s="256">
        <f t="shared" si="1"/>
        <v>3.96</v>
      </c>
      <c r="O14" s="257">
        <f t="shared" si="1"/>
        <v>6.6000000000000005</v>
      </c>
    </row>
    <row r="15" spans="1:49" x14ac:dyDescent="0.2">
      <c r="A15" s="246" t="s">
        <v>88</v>
      </c>
      <c r="B15" s="253">
        <f>Criteria!F36</f>
        <v>4</v>
      </c>
      <c r="C15" s="254">
        <f>Criteria!H36</f>
        <v>8</v>
      </c>
      <c r="D15" s="254">
        <f>Criteria!J36</f>
        <v>14</v>
      </c>
      <c r="E15" s="254">
        <f>Criteria!L36</f>
        <v>18</v>
      </c>
      <c r="F15" s="249" t="s">
        <v>88</v>
      </c>
      <c r="G15" s="255">
        <f t="shared" si="2"/>
        <v>2.64</v>
      </c>
      <c r="H15" s="256">
        <f t="shared" si="0"/>
        <v>5.28</v>
      </c>
      <c r="I15" s="256">
        <f t="shared" si="0"/>
        <v>9.24</v>
      </c>
      <c r="J15" s="257">
        <f t="shared" si="0"/>
        <v>11.88</v>
      </c>
      <c r="K15" s="226" t="s">
        <v>88</v>
      </c>
      <c r="L15" s="255">
        <f t="shared" si="3"/>
        <v>1.32</v>
      </c>
      <c r="M15" s="256">
        <f t="shared" si="1"/>
        <v>2.64</v>
      </c>
      <c r="N15" s="256">
        <f t="shared" si="1"/>
        <v>4.62</v>
      </c>
      <c r="O15" s="257">
        <f t="shared" si="1"/>
        <v>5.94</v>
      </c>
    </row>
    <row r="16" spans="1:49" x14ac:dyDescent="0.2">
      <c r="A16" s="246" t="s">
        <v>89</v>
      </c>
      <c r="B16" s="253">
        <f>Criteria!F42</f>
        <v>2</v>
      </c>
      <c r="C16" s="254">
        <f>Criteria!H42</f>
        <v>6</v>
      </c>
      <c r="D16" s="254">
        <f>Criteria!J42</f>
        <v>12</v>
      </c>
      <c r="E16" s="254">
        <f>Criteria!L42</f>
        <v>15</v>
      </c>
      <c r="F16" s="249" t="s">
        <v>89</v>
      </c>
      <c r="G16" s="255">
        <f t="shared" ref="G16:J20" si="4" xml:space="preserve"> B16 * Change_Pct</f>
        <v>1.32</v>
      </c>
      <c r="H16" s="256">
        <f t="shared" si="4"/>
        <v>3.96</v>
      </c>
      <c r="I16" s="256">
        <f t="shared" si="4"/>
        <v>7.92</v>
      </c>
      <c r="J16" s="257">
        <f t="shared" si="4"/>
        <v>9.9</v>
      </c>
      <c r="K16" s="226" t="s">
        <v>89</v>
      </c>
      <c r="L16" s="255">
        <f t="shared" ref="L16:O20" si="5" xml:space="preserve"> B16 *Rep_Pct</f>
        <v>0.66</v>
      </c>
      <c r="M16" s="256">
        <f t="shared" si="5"/>
        <v>1.98</v>
      </c>
      <c r="N16" s="256">
        <f t="shared" si="5"/>
        <v>3.96</v>
      </c>
      <c r="O16" s="257">
        <f t="shared" si="5"/>
        <v>4.95</v>
      </c>
    </row>
    <row r="17" spans="1:15" x14ac:dyDescent="0.2">
      <c r="A17" s="246" t="s">
        <v>6</v>
      </c>
      <c r="B17" s="253">
        <f>Criteria!F46</f>
        <v>5</v>
      </c>
      <c r="C17" s="254">
        <f>Criteria!H46</f>
        <v>9</v>
      </c>
      <c r="D17" s="254">
        <f>Criteria!J46</f>
        <v>16</v>
      </c>
      <c r="E17" s="254">
        <f>Criteria!L46</f>
        <v>24</v>
      </c>
      <c r="F17" s="249" t="s">
        <v>6</v>
      </c>
      <c r="G17" s="255">
        <f t="shared" si="4"/>
        <v>3.3000000000000003</v>
      </c>
      <c r="H17" s="256">
        <f t="shared" si="4"/>
        <v>5.94</v>
      </c>
      <c r="I17" s="256">
        <f t="shared" si="4"/>
        <v>10.56</v>
      </c>
      <c r="J17" s="257">
        <f t="shared" si="4"/>
        <v>15.84</v>
      </c>
      <c r="K17" s="226" t="s">
        <v>6</v>
      </c>
      <c r="L17" s="255">
        <f t="shared" si="5"/>
        <v>1.6500000000000001</v>
      </c>
      <c r="M17" s="256">
        <f t="shared" si="5"/>
        <v>2.97</v>
      </c>
      <c r="N17" s="256">
        <f t="shared" si="5"/>
        <v>5.28</v>
      </c>
      <c r="O17" s="257">
        <f t="shared" si="5"/>
        <v>7.92</v>
      </c>
    </row>
    <row r="18" spans="1:15" x14ac:dyDescent="0.2">
      <c r="A18" s="246" t="s">
        <v>80</v>
      </c>
      <c r="B18" s="253">
        <f>Criteria!F50</f>
        <v>4</v>
      </c>
      <c r="C18" s="254">
        <f>Criteria!H50</f>
        <v>7</v>
      </c>
      <c r="D18" s="254">
        <f>Criteria!J50</f>
        <v>12</v>
      </c>
      <c r="E18" s="254">
        <f>Criteria!L50</f>
        <v>18</v>
      </c>
      <c r="F18" s="249" t="s">
        <v>80</v>
      </c>
      <c r="G18" s="255">
        <f t="shared" si="4"/>
        <v>2.64</v>
      </c>
      <c r="H18" s="256">
        <f t="shared" si="4"/>
        <v>4.62</v>
      </c>
      <c r="I18" s="256">
        <f t="shared" si="4"/>
        <v>7.92</v>
      </c>
      <c r="J18" s="257">
        <f t="shared" si="4"/>
        <v>11.88</v>
      </c>
      <c r="K18" s="226" t="s">
        <v>80</v>
      </c>
      <c r="L18" s="255">
        <f t="shared" si="5"/>
        <v>1.32</v>
      </c>
      <c r="M18" s="256">
        <f t="shared" si="5"/>
        <v>2.31</v>
      </c>
      <c r="N18" s="256">
        <f t="shared" si="5"/>
        <v>3.96</v>
      </c>
      <c r="O18" s="257">
        <f t="shared" si="5"/>
        <v>5.94</v>
      </c>
    </row>
    <row r="19" spans="1:15" x14ac:dyDescent="0.2">
      <c r="A19" s="246" t="s">
        <v>138</v>
      </c>
      <c r="B19" s="253">
        <f>Criteria!F54</f>
        <v>2</v>
      </c>
      <c r="C19" s="254">
        <f>Criteria!H54</f>
        <v>6</v>
      </c>
      <c r="D19" s="254">
        <f>Criteria!J54</f>
        <v>14</v>
      </c>
      <c r="E19" s="254">
        <f>Criteria!L54</f>
        <v>32</v>
      </c>
      <c r="F19" s="249" t="s">
        <v>138</v>
      </c>
      <c r="G19" s="255">
        <f t="shared" si="4"/>
        <v>1.32</v>
      </c>
      <c r="H19" s="256">
        <f t="shared" si="4"/>
        <v>3.96</v>
      </c>
      <c r="I19" s="256">
        <f t="shared" si="4"/>
        <v>9.24</v>
      </c>
      <c r="J19" s="257">
        <f t="shared" si="4"/>
        <v>21.12</v>
      </c>
      <c r="K19" s="226" t="s">
        <v>138</v>
      </c>
      <c r="L19" s="255">
        <f xml:space="preserve"> B19 *Rep_Pct</f>
        <v>0.66</v>
      </c>
      <c r="M19" s="256">
        <f xml:space="preserve"> C19 *Rep_Pct</f>
        <v>1.98</v>
      </c>
      <c r="N19" s="256">
        <f xml:space="preserve"> D19 *Rep_Pct</f>
        <v>4.62</v>
      </c>
      <c r="O19" s="257">
        <f xml:space="preserve"> E19 *Rep_Pct</f>
        <v>10.56</v>
      </c>
    </row>
    <row r="20" spans="1:15" ht="13.5" thickBot="1" x14ac:dyDescent="0.25">
      <c r="A20" s="258" t="s">
        <v>143</v>
      </c>
      <c r="B20" s="259">
        <f>Criteria!F58</f>
        <v>4</v>
      </c>
      <c r="C20" s="260">
        <f>Criteria!H58</f>
        <v>8</v>
      </c>
      <c r="D20" s="260">
        <f>Criteria!J58</f>
        <v>16</v>
      </c>
      <c r="E20" s="260">
        <f>Criteria!L58</f>
        <v>30</v>
      </c>
      <c r="F20" s="261" t="s">
        <v>143</v>
      </c>
      <c r="G20" s="262">
        <f t="shared" si="4"/>
        <v>2.64</v>
      </c>
      <c r="H20" s="263">
        <f t="shared" si="4"/>
        <v>5.28</v>
      </c>
      <c r="I20" s="263">
        <f t="shared" si="4"/>
        <v>10.56</v>
      </c>
      <c r="J20" s="264">
        <f t="shared" si="4"/>
        <v>19.8</v>
      </c>
      <c r="K20" s="265" t="s">
        <v>143</v>
      </c>
      <c r="L20" s="262">
        <f t="shared" si="5"/>
        <v>1.32</v>
      </c>
      <c r="M20" s="263">
        <f t="shared" si="5"/>
        <v>2.64</v>
      </c>
      <c r="N20" s="263">
        <f t="shared" si="5"/>
        <v>5.28</v>
      </c>
      <c r="O20" s="264">
        <f t="shared" si="5"/>
        <v>9.9</v>
      </c>
    </row>
    <row r="24" spans="1:15" x14ac:dyDescent="0.2">
      <c r="A24" s="238" t="s">
        <v>24</v>
      </c>
    </row>
    <row r="25" spans="1:15" x14ac:dyDescent="0.2">
      <c r="A25" s="239" t="s">
        <v>25</v>
      </c>
      <c r="C25" s="266"/>
    </row>
    <row r="26" spans="1:15" x14ac:dyDescent="0.2">
      <c r="A26" s="239" t="s">
        <v>26</v>
      </c>
      <c r="C26" s="180"/>
    </row>
  </sheetData>
  <sheetProtection password="EBD9" sheet="1"/>
  <mergeCells count="1">
    <mergeCell ref="A1:O1"/>
  </mergeCells>
  <phoneticPr fontId="0" type="noConversion"/>
  <pageMargins left="0.75" right="0.75" top="1" bottom="1" header="0.5" footer="0.5"/>
  <pageSetup scale="79" orientation="landscape" horizontalDpi="200" r:id="rId1"/>
  <headerFooter alignWithMargins="0">
    <oddHeader>&amp;LEstimate Worksheet</oddHeader>
    <oddFooter>&amp;L&amp;BEDS Confidential&amp;B&amp;C&amp;D&amp;RPage &amp;P</oddFooter>
  </headerFooter>
  <ignoredErrors>
    <ignoredError sqref="D19:D20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1:DG82"/>
  <sheetViews>
    <sheetView zoomScale="90" zoomScaleNormal="90" workbookViewId="0">
      <pane xSplit="11" ySplit="6" topLeftCell="L7" activePane="bottomRight" state="frozen"/>
      <selection activeCell="I25" sqref="I25"/>
      <selection pane="topRight" activeCell="I25" sqref="I25"/>
      <selection pane="bottomLeft" activeCell="I25" sqref="I25"/>
      <selection pane="bottomRight" activeCell="L7" sqref="L7"/>
    </sheetView>
  </sheetViews>
  <sheetFormatPr defaultColWidth="9.140625" defaultRowHeight="12.75" x14ac:dyDescent="0.2"/>
  <cols>
    <col min="1" max="1" width="43.5703125" style="45" bestFit="1" customWidth="1"/>
    <col min="2" max="2" width="1.85546875" style="45" hidden="1" customWidth="1"/>
    <col min="3" max="9" width="3.42578125" style="45" customWidth="1"/>
    <col min="10" max="10" width="6.5703125" style="46" customWidth="1"/>
    <col min="11" max="11" width="3.28515625" style="46" bestFit="1" customWidth="1"/>
    <col min="12" max="59" width="3.42578125" style="45" customWidth="1"/>
    <col min="60" max="60" width="3.5703125" style="45" customWidth="1"/>
    <col min="61" max="61" width="0.85546875" style="45" customWidth="1"/>
    <col min="62" max="62" width="5.140625" style="46" customWidth="1"/>
    <col min="63" max="109" width="3.42578125" style="45" customWidth="1"/>
    <col min="110" max="110" width="3.85546875" style="45" customWidth="1"/>
    <col min="111" max="111" width="6.5703125" style="45" customWidth="1"/>
    <col min="112" max="16384" width="9.140625" style="45"/>
  </cols>
  <sheetData>
    <row r="1" spans="1:111" ht="17.25" thickTop="1" thickBot="1" x14ac:dyDescent="0.25">
      <c r="L1" s="415" t="str">
        <f>"Produce " &amp; Instructions!C3</f>
        <v>Produce Ajustes para Termo de Moedas e Commodities</v>
      </c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6"/>
      <c r="AB1" s="416"/>
      <c r="AC1" s="416"/>
      <c r="AD1" s="416"/>
      <c r="AE1" s="416"/>
      <c r="AF1" s="416"/>
      <c r="AG1" s="416"/>
      <c r="AH1" s="416"/>
      <c r="AI1" s="416"/>
      <c r="AJ1" s="416"/>
      <c r="AK1" s="416"/>
      <c r="AL1" s="416"/>
      <c r="AM1" s="416"/>
      <c r="AN1" s="416"/>
      <c r="AO1" s="416"/>
      <c r="AP1" s="416"/>
      <c r="AQ1" s="416"/>
      <c r="AR1" s="416"/>
      <c r="AS1" s="416"/>
      <c r="AT1" s="416"/>
      <c r="AU1" s="416"/>
      <c r="AV1" s="416"/>
      <c r="AW1" s="416"/>
      <c r="AX1" s="416"/>
      <c r="AY1" s="416"/>
      <c r="AZ1" s="416"/>
      <c r="BA1" s="416"/>
      <c r="BB1" s="416"/>
      <c r="BC1" s="416"/>
      <c r="BD1" s="416"/>
      <c r="BE1" s="416"/>
      <c r="BF1" s="416"/>
      <c r="BG1" s="416"/>
      <c r="BH1" s="417"/>
      <c r="BI1" s="10"/>
      <c r="BJ1" s="491" t="str">
        <f>L1</f>
        <v>Produce Ajustes para Termo de Moedas e Commodities</v>
      </c>
      <c r="BK1" s="492"/>
      <c r="BL1" s="492"/>
      <c r="BM1" s="492"/>
      <c r="BN1" s="492"/>
      <c r="BO1" s="492"/>
      <c r="BP1" s="492"/>
      <c r="BQ1" s="492"/>
      <c r="BR1" s="492"/>
      <c r="BS1" s="492"/>
      <c r="BT1" s="492"/>
      <c r="BU1" s="492"/>
      <c r="BV1" s="492"/>
      <c r="BW1" s="492"/>
      <c r="BX1" s="492"/>
      <c r="BY1" s="492"/>
      <c r="BZ1" s="492"/>
      <c r="CA1" s="492"/>
      <c r="CB1" s="492"/>
      <c r="CC1" s="492"/>
      <c r="CD1" s="492"/>
      <c r="CE1" s="492"/>
      <c r="CF1" s="492"/>
      <c r="CG1" s="492"/>
      <c r="CH1" s="492"/>
      <c r="CI1" s="492"/>
      <c r="CJ1" s="492"/>
      <c r="CK1" s="492"/>
      <c r="CL1" s="492"/>
      <c r="CM1" s="492"/>
      <c r="CN1" s="492"/>
      <c r="CO1" s="492"/>
      <c r="CP1" s="492"/>
      <c r="CQ1" s="492"/>
      <c r="CR1" s="492"/>
      <c r="CS1" s="492"/>
      <c r="CT1" s="492"/>
      <c r="CU1" s="492"/>
      <c r="CV1" s="492"/>
      <c r="CW1" s="492"/>
      <c r="CX1" s="492"/>
      <c r="CY1" s="492"/>
      <c r="CZ1" s="492"/>
      <c r="DA1" s="492"/>
      <c r="DB1" s="492"/>
      <c r="DC1" s="492"/>
      <c r="DD1" s="492"/>
      <c r="DE1" s="492"/>
      <c r="DF1" s="492"/>
      <c r="DG1" s="493"/>
    </row>
    <row r="2" spans="1:111" ht="15.75" x14ac:dyDescent="0.2"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  <c r="CW2" s="55"/>
      <c r="CX2" s="55"/>
      <c r="CY2" s="55"/>
      <c r="CZ2" s="55"/>
      <c r="DA2" s="55"/>
      <c r="DB2" s="55"/>
      <c r="DC2" s="55"/>
      <c r="DD2" s="55"/>
      <c r="DE2" s="55"/>
      <c r="DF2" s="55"/>
      <c r="DG2" s="55"/>
    </row>
    <row r="3" spans="1:111" ht="18" x14ac:dyDescent="0.25">
      <c r="A3" s="146"/>
      <c r="B3" s="146"/>
      <c r="C3" s="146"/>
      <c r="D3" s="146"/>
      <c r="E3" s="146"/>
      <c r="F3" s="146"/>
      <c r="G3" s="146"/>
      <c r="H3" s="146"/>
      <c r="I3" s="146"/>
      <c r="J3" s="268"/>
      <c r="K3" s="268"/>
      <c r="L3" s="496" t="str">
        <f>A5</f>
        <v>Ajustes para Termo de Moedas e Commodities</v>
      </c>
      <c r="M3" s="496"/>
      <c r="N3" s="496"/>
      <c r="O3" s="496"/>
      <c r="P3" s="496"/>
      <c r="Q3" s="496"/>
      <c r="R3" s="496"/>
      <c r="S3" s="496"/>
      <c r="T3" s="496"/>
      <c r="U3" s="496"/>
      <c r="V3" s="496"/>
      <c r="W3" s="496"/>
      <c r="X3" s="496"/>
      <c r="Y3" s="496"/>
      <c r="Z3" s="496"/>
      <c r="AA3" s="496"/>
      <c r="AB3" s="496"/>
      <c r="AC3" s="496"/>
      <c r="AD3" s="496"/>
      <c r="AE3" s="496"/>
      <c r="AF3" s="496"/>
      <c r="AG3" s="496"/>
      <c r="AH3" s="496"/>
      <c r="AI3" s="496"/>
      <c r="AJ3" s="496"/>
      <c r="AK3" s="496"/>
      <c r="AL3" s="496"/>
      <c r="AM3" s="496"/>
      <c r="AN3" s="496"/>
      <c r="AO3" s="496"/>
      <c r="AP3" s="496"/>
      <c r="AQ3" s="496"/>
      <c r="AR3" s="496"/>
      <c r="AS3" s="496"/>
      <c r="AT3" s="496"/>
      <c r="AU3" s="496"/>
      <c r="AV3" s="496"/>
      <c r="AW3" s="496"/>
      <c r="AX3" s="496"/>
      <c r="AY3" s="496"/>
      <c r="AZ3" s="496"/>
      <c r="BA3" s="496"/>
      <c r="BB3" s="496"/>
      <c r="BC3" s="496"/>
      <c r="BD3" s="496"/>
      <c r="BE3" s="496"/>
      <c r="BF3" s="496"/>
      <c r="BG3" s="496"/>
      <c r="BH3" s="496"/>
      <c r="BI3" s="10"/>
      <c r="BJ3" s="497" t="str">
        <f>A5</f>
        <v>Ajustes para Termo de Moedas e Commodities</v>
      </c>
      <c r="BK3" s="497"/>
      <c r="BL3" s="497"/>
      <c r="BM3" s="497"/>
      <c r="BN3" s="497"/>
      <c r="BO3" s="497"/>
      <c r="BP3" s="497"/>
      <c r="BQ3" s="497"/>
      <c r="BR3" s="497"/>
      <c r="BS3" s="497"/>
      <c r="BT3" s="497"/>
      <c r="BU3" s="497"/>
      <c r="BV3" s="497"/>
      <c r="BW3" s="497"/>
      <c r="BX3" s="497"/>
      <c r="BY3" s="497"/>
      <c r="BZ3" s="497"/>
      <c r="CA3" s="497"/>
      <c r="CB3" s="497"/>
      <c r="CC3" s="497"/>
      <c r="CD3" s="497"/>
      <c r="CE3" s="497"/>
      <c r="CF3" s="497"/>
      <c r="CG3" s="497"/>
      <c r="CH3" s="497"/>
      <c r="CI3" s="497"/>
      <c r="CJ3" s="497"/>
      <c r="CK3" s="497"/>
      <c r="CL3" s="497"/>
      <c r="CM3" s="497"/>
      <c r="CN3" s="497"/>
      <c r="CO3" s="497"/>
      <c r="CP3" s="497"/>
      <c r="CQ3" s="497"/>
      <c r="CR3" s="497"/>
      <c r="CS3" s="497"/>
      <c r="CT3" s="497"/>
      <c r="CU3" s="497"/>
      <c r="CV3" s="497"/>
      <c r="CW3" s="497"/>
      <c r="CX3" s="497"/>
      <c r="CY3" s="497"/>
      <c r="CZ3" s="497"/>
      <c r="DA3" s="497"/>
      <c r="DB3" s="497"/>
      <c r="DC3" s="497"/>
      <c r="DD3" s="497"/>
      <c r="DE3" s="497"/>
      <c r="DF3" s="497"/>
      <c r="DG3" s="497"/>
    </row>
    <row r="4" spans="1:111" ht="15.75" x14ac:dyDescent="0.25">
      <c r="A4" s="146"/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495" t="s">
        <v>4</v>
      </c>
      <c r="M4" s="495"/>
      <c r="N4" s="495"/>
      <c r="O4" s="495"/>
      <c r="P4" s="495"/>
      <c r="Q4" s="495"/>
      <c r="R4" s="495"/>
      <c r="S4" s="495"/>
      <c r="T4" s="495"/>
      <c r="U4" s="495"/>
      <c r="V4" s="495"/>
      <c r="W4" s="495"/>
      <c r="X4" s="495"/>
      <c r="Y4" s="495"/>
      <c r="Z4" s="495"/>
      <c r="AA4" s="495"/>
      <c r="AB4" s="495"/>
      <c r="AC4" s="495"/>
      <c r="AD4" s="495"/>
      <c r="AE4" s="495"/>
      <c r="AF4" s="495"/>
      <c r="AG4" s="495"/>
      <c r="AH4" s="495"/>
      <c r="AI4" s="495"/>
      <c r="AJ4" s="495"/>
      <c r="AK4" s="495"/>
      <c r="AL4" s="495"/>
      <c r="AM4" s="495"/>
      <c r="AN4" s="495"/>
      <c r="AO4" s="495"/>
      <c r="AP4" s="495"/>
      <c r="AQ4" s="495"/>
      <c r="AR4" s="495"/>
      <c r="AS4" s="495"/>
      <c r="AT4" s="495"/>
      <c r="AU4" s="495"/>
      <c r="AV4" s="495"/>
      <c r="AW4" s="495"/>
      <c r="AX4" s="495"/>
      <c r="AY4" s="495"/>
      <c r="AZ4" s="495"/>
      <c r="BA4" s="495"/>
      <c r="BB4" s="495"/>
      <c r="BC4" s="495"/>
      <c r="BD4" s="495"/>
      <c r="BE4" s="495"/>
      <c r="BF4" s="495"/>
      <c r="BG4" s="495"/>
      <c r="BH4" s="495"/>
      <c r="BI4" s="10"/>
      <c r="BJ4" s="494" t="s">
        <v>37</v>
      </c>
      <c r="BK4" s="494"/>
      <c r="BL4" s="494"/>
      <c r="BM4" s="494"/>
      <c r="BN4" s="494"/>
      <c r="BO4" s="494"/>
      <c r="BP4" s="494"/>
      <c r="BQ4" s="494"/>
      <c r="BR4" s="494"/>
      <c r="BS4" s="494"/>
      <c r="BT4" s="494"/>
      <c r="BU4" s="494"/>
      <c r="BV4" s="494"/>
      <c r="BW4" s="494"/>
      <c r="BX4" s="494"/>
      <c r="BY4" s="494"/>
      <c r="BZ4" s="494"/>
      <c r="CA4" s="494"/>
      <c r="CB4" s="494"/>
      <c r="CC4" s="494"/>
      <c r="CD4" s="494"/>
      <c r="CE4" s="494"/>
      <c r="CF4" s="494"/>
      <c r="CG4" s="494"/>
      <c r="CH4" s="494"/>
      <c r="CI4" s="494"/>
      <c r="CJ4" s="494"/>
      <c r="CK4" s="494"/>
      <c r="CL4" s="494"/>
      <c r="CM4" s="494"/>
      <c r="CN4" s="494"/>
      <c r="CO4" s="494"/>
      <c r="CP4" s="494"/>
      <c r="CQ4" s="494"/>
      <c r="CR4" s="494"/>
      <c r="CS4" s="494"/>
      <c r="CT4" s="494"/>
      <c r="CU4" s="494"/>
      <c r="CV4" s="494"/>
      <c r="CW4" s="494"/>
      <c r="CX4" s="494"/>
      <c r="CY4" s="494"/>
      <c r="CZ4" s="494"/>
      <c r="DA4" s="494"/>
      <c r="DB4" s="494"/>
      <c r="DC4" s="494"/>
      <c r="DD4" s="494"/>
      <c r="DE4" s="494"/>
      <c r="DF4" s="494"/>
      <c r="DG4" s="494"/>
    </row>
    <row r="5" spans="1:111" ht="37.5" x14ac:dyDescent="0.25">
      <c r="A5" s="466" t="str">
        <f>Project_Name</f>
        <v>Ajustes para Termo de Moedas e Commodities</v>
      </c>
      <c r="B5" s="466"/>
      <c r="C5" s="466"/>
      <c r="D5" s="466"/>
      <c r="E5" s="466"/>
      <c r="F5" s="466"/>
      <c r="G5" s="466"/>
      <c r="H5" s="466"/>
      <c r="I5" s="466"/>
      <c r="J5" s="466"/>
      <c r="K5" s="269" t="s">
        <v>31</v>
      </c>
      <c r="L5" s="270" t="str">
        <f>'Matrix(0)'!A9</f>
        <v>Presentation</v>
      </c>
      <c r="M5" s="271"/>
      <c r="N5" s="272"/>
      <c r="O5" s="273"/>
      <c r="P5" s="274" t="str">
        <f>'Matrix(0)'!A10</f>
        <v>Code (entity)</v>
      </c>
      <c r="Q5" s="275"/>
      <c r="R5" s="276"/>
      <c r="S5" s="276"/>
      <c r="T5" s="270" t="str">
        <f>'Matrix(0)'!A11</f>
        <v>Code (business)</v>
      </c>
      <c r="U5" s="271"/>
      <c r="V5" s="272"/>
      <c r="W5" s="273"/>
      <c r="X5" s="274" t="str">
        <f>'Matrix(0)'!A12</f>
        <v>Code (data)</v>
      </c>
      <c r="Y5" s="275"/>
      <c r="Z5" s="276"/>
      <c r="AA5" s="276"/>
      <c r="AB5" s="270" t="str">
        <f>'Matrix(0)'!A13</f>
        <v>Code (batch)</v>
      </c>
      <c r="AC5" s="271"/>
      <c r="AD5" s="272"/>
      <c r="AE5" s="273"/>
      <c r="AF5" s="274" t="str">
        <f>'Matrix(0)'!A14</f>
        <v>Code (Generic)</v>
      </c>
      <c r="AG5" s="275"/>
      <c r="AH5" s="276"/>
      <c r="AI5" s="277"/>
      <c r="AJ5" s="270" t="str">
        <f>'Matrix(0)'!A15</f>
        <v>Data</v>
      </c>
      <c r="AK5" s="271"/>
      <c r="AL5" s="272"/>
      <c r="AM5" s="273"/>
      <c r="AN5" s="274" t="str">
        <f>'Matrix(0)'!A16</f>
        <v>Report</v>
      </c>
      <c r="AO5" s="275"/>
      <c r="AP5" s="276"/>
      <c r="AQ5" s="277"/>
      <c r="AR5" s="478" t="str">
        <f>'Matrix(0)'!A17</f>
        <v>XML</v>
      </c>
      <c r="AS5" s="479"/>
      <c r="AT5" s="479"/>
      <c r="AU5" s="480"/>
      <c r="AV5" s="487" t="str">
        <f>'Matrix(0)'!A18</f>
        <v>Script</v>
      </c>
      <c r="AW5" s="488"/>
      <c r="AX5" s="488"/>
      <c r="AY5" s="489"/>
      <c r="AZ5" s="484" t="str">
        <f>'Matrix(0)'!A19</f>
        <v>Other Web</v>
      </c>
      <c r="BA5" s="485"/>
      <c r="BB5" s="485"/>
      <c r="BC5" s="486"/>
      <c r="BD5" s="481" t="str">
        <f>'Matrix(0)'!A20</f>
        <v>Other Windows</v>
      </c>
      <c r="BE5" s="482"/>
      <c r="BF5" s="482"/>
      <c r="BG5" s="483"/>
      <c r="BH5" s="278" t="s">
        <v>36</v>
      </c>
      <c r="BI5" s="10"/>
      <c r="BJ5" s="40" t="s">
        <v>16</v>
      </c>
      <c r="BK5" s="23" t="str">
        <f>L5</f>
        <v>Presentation</v>
      </c>
      <c r="BL5" s="24"/>
      <c r="BM5" s="25"/>
      <c r="BN5" s="26"/>
      <c r="BO5" s="30" t="str">
        <f>P5</f>
        <v>Code (entity)</v>
      </c>
      <c r="BP5" s="31"/>
      <c r="BQ5" s="32"/>
      <c r="BR5" s="32"/>
      <c r="BS5" s="23" t="str">
        <f>T5</f>
        <v>Code (business)</v>
      </c>
      <c r="BT5" s="24"/>
      <c r="BU5" s="25"/>
      <c r="BV5" s="26"/>
      <c r="BW5" s="30" t="str">
        <f>X5</f>
        <v>Code (data)</v>
      </c>
      <c r="BX5" s="31"/>
      <c r="BY5" s="32"/>
      <c r="BZ5" s="32"/>
      <c r="CA5" s="23" t="str">
        <f>AB5</f>
        <v>Code (batch)</v>
      </c>
      <c r="CB5" s="24"/>
      <c r="CC5" s="25"/>
      <c r="CD5" s="26"/>
      <c r="CE5" s="30" t="str">
        <f>AF5</f>
        <v>Code (Generic)</v>
      </c>
      <c r="CF5" s="31"/>
      <c r="CG5" s="32"/>
      <c r="CH5" s="32"/>
      <c r="CI5" s="23" t="str">
        <f>AJ5</f>
        <v>Data</v>
      </c>
      <c r="CJ5" s="24"/>
      <c r="CK5" s="25"/>
      <c r="CL5" s="26"/>
      <c r="CM5" s="30" t="str">
        <f>AN5</f>
        <v>Report</v>
      </c>
      <c r="CN5" s="31"/>
      <c r="CO5" s="32"/>
      <c r="CP5" s="32"/>
      <c r="CQ5" s="23" t="str">
        <f>AR5</f>
        <v>XML</v>
      </c>
      <c r="CR5" s="24"/>
      <c r="CS5" s="25"/>
      <c r="CT5" s="26"/>
      <c r="CU5" s="30" t="str">
        <f>AV5</f>
        <v>Script</v>
      </c>
      <c r="CV5" s="31"/>
      <c r="CW5" s="32"/>
      <c r="CX5" s="32"/>
      <c r="CY5" s="23" t="str">
        <f>AZ5</f>
        <v>Other Web</v>
      </c>
      <c r="CZ5" s="24"/>
      <c r="DA5" s="25"/>
      <c r="DB5" s="26"/>
      <c r="DC5" s="30" t="str">
        <f>BD5</f>
        <v>Other Windows</v>
      </c>
      <c r="DD5" s="31"/>
      <c r="DE5" s="32"/>
      <c r="DF5" s="32"/>
      <c r="DG5" s="127" t="s">
        <v>202</v>
      </c>
    </row>
    <row r="6" spans="1:111" x14ac:dyDescent="0.2">
      <c r="A6" s="467"/>
      <c r="B6" s="467"/>
      <c r="C6" s="467"/>
      <c r="D6" s="467"/>
      <c r="E6" s="467"/>
      <c r="F6" s="467"/>
      <c r="G6" s="467"/>
      <c r="H6" s="467"/>
      <c r="I6" s="467"/>
      <c r="J6" s="467"/>
      <c r="K6" s="279"/>
      <c r="L6" s="280">
        <v>1</v>
      </c>
      <c r="M6" s="280">
        <v>2</v>
      </c>
      <c r="N6" s="280">
        <v>3</v>
      </c>
      <c r="O6" s="280">
        <v>4</v>
      </c>
      <c r="P6" s="281">
        <v>1</v>
      </c>
      <c r="Q6" s="281">
        <v>2</v>
      </c>
      <c r="R6" s="281">
        <v>3</v>
      </c>
      <c r="S6" s="281">
        <v>4</v>
      </c>
      <c r="T6" s="280">
        <v>1</v>
      </c>
      <c r="U6" s="280">
        <v>2</v>
      </c>
      <c r="V6" s="280">
        <v>3</v>
      </c>
      <c r="W6" s="280">
        <v>4</v>
      </c>
      <c r="X6" s="281">
        <v>1</v>
      </c>
      <c r="Y6" s="281">
        <v>2</v>
      </c>
      <c r="Z6" s="281">
        <v>3</v>
      </c>
      <c r="AA6" s="281">
        <v>4</v>
      </c>
      <c r="AB6" s="280">
        <v>1</v>
      </c>
      <c r="AC6" s="280">
        <v>2</v>
      </c>
      <c r="AD6" s="280">
        <v>3</v>
      </c>
      <c r="AE6" s="280">
        <v>4</v>
      </c>
      <c r="AF6" s="281">
        <v>1</v>
      </c>
      <c r="AG6" s="281">
        <v>2</v>
      </c>
      <c r="AH6" s="281">
        <v>3</v>
      </c>
      <c r="AI6" s="281">
        <v>4</v>
      </c>
      <c r="AJ6" s="280">
        <v>1</v>
      </c>
      <c r="AK6" s="280">
        <v>2</v>
      </c>
      <c r="AL6" s="280">
        <v>3</v>
      </c>
      <c r="AM6" s="280">
        <v>4</v>
      </c>
      <c r="AN6" s="281">
        <v>1</v>
      </c>
      <c r="AO6" s="281">
        <v>2</v>
      </c>
      <c r="AP6" s="281">
        <v>3</v>
      </c>
      <c r="AQ6" s="281">
        <v>4</v>
      </c>
      <c r="AR6" s="280">
        <v>1</v>
      </c>
      <c r="AS6" s="280">
        <v>2</v>
      </c>
      <c r="AT6" s="280">
        <v>3</v>
      </c>
      <c r="AU6" s="280">
        <v>4</v>
      </c>
      <c r="AV6" s="281">
        <v>1</v>
      </c>
      <c r="AW6" s="281">
        <v>2</v>
      </c>
      <c r="AX6" s="281">
        <v>3</v>
      </c>
      <c r="AY6" s="281">
        <v>4</v>
      </c>
      <c r="AZ6" s="280">
        <v>1</v>
      </c>
      <c r="BA6" s="280">
        <v>2</v>
      </c>
      <c r="BB6" s="280">
        <v>3</v>
      </c>
      <c r="BC6" s="280">
        <v>4</v>
      </c>
      <c r="BD6" s="281">
        <v>1</v>
      </c>
      <c r="BE6" s="281">
        <v>2</v>
      </c>
      <c r="BF6" s="281">
        <v>3</v>
      </c>
      <c r="BG6" s="281">
        <v>4</v>
      </c>
      <c r="BH6" s="281"/>
      <c r="BI6" s="11"/>
      <c r="BJ6" s="36"/>
      <c r="BK6" s="27">
        <v>1</v>
      </c>
      <c r="BL6" s="27">
        <v>2</v>
      </c>
      <c r="BM6" s="27">
        <v>3</v>
      </c>
      <c r="BN6" s="27">
        <v>4</v>
      </c>
      <c r="BO6" s="33">
        <v>1</v>
      </c>
      <c r="BP6" s="33">
        <v>2</v>
      </c>
      <c r="BQ6" s="33">
        <v>3</v>
      </c>
      <c r="BR6" s="33">
        <v>4</v>
      </c>
      <c r="BS6" s="27">
        <v>1</v>
      </c>
      <c r="BT6" s="27">
        <v>2</v>
      </c>
      <c r="BU6" s="27">
        <v>3</v>
      </c>
      <c r="BV6" s="27">
        <v>4</v>
      </c>
      <c r="BW6" s="33">
        <v>1</v>
      </c>
      <c r="BX6" s="33">
        <v>2</v>
      </c>
      <c r="BY6" s="33">
        <v>3</v>
      </c>
      <c r="BZ6" s="33">
        <v>4</v>
      </c>
      <c r="CA6" s="27">
        <v>1</v>
      </c>
      <c r="CB6" s="27">
        <v>2</v>
      </c>
      <c r="CC6" s="27">
        <v>3</v>
      </c>
      <c r="CD6" s="27">
        <v>4</v>
      </c>
      <c r="CE6" s="33">
        <v>1</v>
      </c>
      <c r="CF6" s="33">
        <v>2</v>
      </c>
      <c r="CG6" s="33">
        <v>3</v>
      </c>
      <c r="CH6" s="33">
        <v>4</v>
      </c>
      <c r="CI6" s="27">
        <v>1</v>
      </c>
      <c r="CJ6" s="27">
        <v>2</v>
      </c>
      <c r="CK6" s="27">
        <v>3</v>
      </c>
      <c r="CL6" s="27">
        <v>4</v>
      </c>
      <c r="CM6" s="33">
        <v>1</v>
      </c>
      <c r="CN6" s="33">
        <v>2</v>
      </c>
      <c r="CO6" s="33">
        <v>3</v>
      </c>
      <c r="CP6" s="33">
        <v>4</v>
      </c>
      <c r="CQ6" s="27">
        <v>1</v>
      </c>
      <c r="CR6" s="27">
        <v>2</v>
      </c>
      <c r="CS6" s="27">
        <v>3</v>
      </c>
      <c r="CT6" s="27">
        <v>4</v>
      </c>
      <c r="CU6" s="33">
        <v>1</v>
      </c>
      <c r="CV6" s="33">
        <v>2</v>
      </c>
      <c r="CW6" s="33">
        <v>3</v>
      </c>
      <c r="CX6" s="33">
        <v>4</v>
      </c>
      <c r="CY6" s="27">
        <v>1</v>
      </c>
      <c r="CZ6" s="27">
        <v>2</v>
      </c>
      <c r="DA6" s="27">
        <v>3</v>
      </c>
      <c r="DB6" s="27">
        <v>4</v>
      </c>
      <c r="DC6" s="33">
        <v>1</v>
      </c>
      <c r="DD6" s="33">
        <v>2</v>
      </c>
      <c r="DE6" s="33">
        <v>3</v>
      </c>
      <c r="DF6" s="33">
        <v>4</v>
      </c>
      <c r="DG6" s="8"/>
    </row>
    <row r="7" spans="1:111" s="56" customFormat="1" ht="12.75" customHeight="1" x14ac:dyDescent="0.2">
      <c r="A7" s="468" t="s">
        <v>279</v>
      </c>
      <c r="B7" s="469"/>
      <c r="C7" s="469"/>
      <c r="D7" s="469"/>
      <c r="E7" s="469"/>
      <c r="F7" s="469"/>
      <c r="G7" s="469"/>
      <c r="H7" s="469"/>
      <c r="I7" s="469"/>
      <c r="J7" s="470"/>
      <c r="K7" s="282"/>
      <c r="L7" s="283"/>
      <c r="M7" s="283"/>
      <c r="N7" s="283"/>
      <c r="O7" s="283"/>
      <c r="P7" s="283"/>
      <c r="Q7" s="283"/>
      <c r="R7" s="283"/>
      <c r="S7" s="283"/>
      <c r="T7" s="283"/>
      <c r="U7" s="283"/>
      <c r="V7" s="283"/>
      <c r="W7" s="283"/>
      <c r="X7" s="283"/>
      <c r="Y7" s="283"/>
      <c r="Z7" s="283"/>
      <c r="AA7" s="283"/>
      <c r="AB7" s="283"/>
      <c r="AC7" s="283"/>
      <c r="AD7" s="283"/>
      <c r="AE7" s="283"/>
      <c r="AF7" s="283"/>
      <c r="AG7" s="283"/>
      <c r="AH7" s="283"/>
      <c r="AI7" s="283"/>
      <c r="AJ7" s="283"/>
      <c r="AK7" s="283"/>
      <c r="AL7" s="283"/>
      <c r="AM7" s="283"/>
      <c r="AN7" s="283"/>
      <c r="AO7" s="283"/>
      <c r="AP7" s="283"/>
      <c r="AQ7" s="283"/>
      <c r="AR7" s="283"/>
      <c r="AS7" s="283"/>
      <c r="AT7" s="283"/>
      <c r="AU7" s="283"/>
      <c r="AV7" s="283"/>
      <c r="AW7" s="283"/>
      <c r="AX7" s="283"/>
      <c r="AY7" s="283"/>
      <c r="AZ7" s="283"/>
      <c r="BA7" s="283"/>
      <c r="BB7" s="283"/>
      <c r="BC7" s="283"/>
      <c r="BD7" s="283"/>
      <c r="BE7" s="283"/>
      <c r="BF7" s="283"/>
      <c r="BG7" s="283"/>
      <c r="BH7" s="284"/>
      <c r="BI7" s="12"/>
      <c r="BJ7" s="37"/>
      <c r="BK7" s="28"/>
      <c r="BL7" s="28"/>
      <c r="BM7" s="28"/>
      <c r="BN7" s="28"/>
      <c r="BO7" s="34"/>
      <c r="BP7" s="34"/>
      <c r="BQ7" s="34"/>
      <c r="BR7" s="34"/>
      <c r="BS7" s="28"/>
      <c r="BT7" s="28"/>
      <c r="BU7" s="28"/>
      <c r="BV7" s="28"/>
      <c r="BW7" s="34"/>
      <c r="BX7" s="34"/>
      <c r="BY7" s="34"/>
      <c r="BZ7" s="34"/>
      <c r="CA7" s="28"/>
      <c r="CB7" s="28"/>
      <c r="CC7" s="28"/>
      <c r="CD7" s="28"/>
      <c r="CE7" s="34"/>
      <c r="CF7" s="34"/>
      <c r="CG7" s="34"/>
      <c r="CH7" s="34"/>
      <c r="CI7" s="28"/>
      <c r="CJ7" s="28"/>
      <c r="CK7" s="28"/>
      <c r="CL7" s="28"/>
      <c r="CM7" s="34"/>
      <c r="CN7" s="34"/>
      <c r="CO7" s="34"/>
      <c r="CP7" s="34"/>
      <c r="CQ7" s="28"/>
      <c r="CR7" s="28"/>
      <c r="CS7" s="28"/>
      <c r="CT7" s="28"/>
      <c r="CU7" s="34"/>
      <c r="CV7" s="34"/>
      <c r="CW7" s="34"/>
      <c r="CX7" s="34"/>
      <c r="CY7" s="28"/>
      <c r="CZ7" s="28"/>
      <c r="DA7" s="28"/>
      <c r="DB7" s="28"/>
      <c r="DC7" s="34"/>
      <c r="DD7" s="34"/>
      <c r="DE7" s="34"/>
      <c r="DF7" s="34"/>
      <c r="DG7" s="9"/>
    </row>
    <row r="8" spans="1:111" s="56" customFormat="1" ht="12.75" customHeight="1" x14ac:dyDescent="0.2">
      <c r="A8" s="449" t="s">
        <v>309</v>
      </c>
      <c r="B8" s="450"/>
      <c r="C8" s="450"/>
      <c r="D8" s="450"/>
      <c r="E8" s="450"/>
      <c r="F8" s="450"/>
      <c r="G8" s="450"/>
      <c r="H8" s="450"/>
      <c r="I8" s="450"/>
      <c r="J8" s="451"/>
      <c r="K8" s="136" t="s">
        <v>33</v>
      </c>
      <c r="L8" s="41"/>
      <c r="M8" s="41"/>
      <c r="N8" s="41"/>
      <c r="O8" s="41">
        <v>1</v>
      </c>
      <c r="P8" s="42"/>
      <c r="Q8" s="42"/>
      <c r="R8" s="42"/>
      <c r="S8" s="42"/>
      <c r="T8" s="41"/>
      <c r="U8" s="41"/>
      <c r="V8" s="41"/>
      <c r="W8" s="41"/>
      <c r="X8" s="42"/>
      <c r="Y8" s="42"/>
      <c r="Z8" s="42"/>
      <c r="AA8" s="42"/>
      <c r="AB8" s="41"/>
      <c r="AC8" s="41"/>
      <c r="AD8" s="41"/>
      <c r="AE8" s="41"/>
      <c r="AF8" s="42"/>
      <c r="AG8" s="42"/>
      <c r="AH8" s="42"/>
      <c r="AI8" s="42"/>
      <c r="AJ8" s="41"/>
      <c r="AK8" s="41"/>
      <c r="AL8" s="41"/>
      <c r="AM8" s="41"/>
      <c r="AN8" s="42"/>
      <c r="AO8" s="42"/>
      <c r="AP8" s="42"/>
      <c r="AQ8" s="42"/>
      <c r="AR8" s="41"/>
      <c r="AS8" s="41"/>
      <c r="AT8" s="41"/>
      <c r="AU8" s="41"/>
      <c r="AV8" s="42"/>
      <c r="AW8" s="42"/>
      <c r="AX8" s="42"/>
      <c r="AY8" s="42"/>
      <c r="AZ8" s="41"/>
      <c r="BA8" s="41"/>
      <c r="BB8" s="41"/>
      <c r="BC8" s="41"/>
      <c r="BD8" s="42"/>
      <c r="BE8" s="42"/>
      <c r="BF8" s="42"/>
      <c r="BG8" s="42"/>
      <c r="BH8" s="285">
        <f>SUM(L8:BG8)</f>
        <v>1</v>
      </c>
      <c r="BI8" s="12"/>
      <c r="BJ8" s="38">
        <f>VLOOKUP(K8,[0]!Factor_Range,2,FALSE)</f>
        <v>0.66</v>
      </c>
      <c r="BK8" s="29">
        <f t="shared" ref="BK8:BN12" si="0">HLOOKUP(BK$6,Effort_Level,2,FALSE)*(L8*$BJ8)</f>
        <v>0</v>
      </c>
      <c r="BL8" s="29">
        <f t="shared" si="0"/>
        <v>0</v>
      </c>
      <c r="BM8" s="29">
        <f t="shared" si="0"/>
        <v>0</v>
      </c>
      <c r="BN8" s="29">
        <f t="shared" si="0"/>
        <v>10.56</v>
      </c>
      <c r="BO8" s="35">
        <f t="shared" ref="BO8:BR12" si="1">HLOOKUP(BO$6,Effort_Level,3,FALSE)*(P8*$BJ8)</f>
        <v>0</v>
      </c>
      <c r="BP8" s="35">
        <f t="shared" si="1"/>
        <v>0</v>
      </c>
      <c r="BQ8" s="35">
        <f t="shared" si="1"/>
        <v>0</v>
      </c>
      <c r="BR8" s="35">
        <f t="shared" si="1"/>
        <v>0</v>
      </c>
      <c r="BS8" s="29">
        <f t="shared" ref="BS8:BV12" si="2">HLOOKUP(BS$6,Effort_Level,4,FALSE)*(T8*$BJ8)</f>
        <v>0</v>
      </c>
      <c r="BT8" s="29">
        <f t="shared" si="2"/>
        <v>0</v>
      </c>
      <c r="BU8" s="29">
        <f t="shared" si="2"/>
        <v>0</v>
      </c>
      <c r="BV8" s="29">
        <f t="shared" si="2"/>
        <v>0</v>
      </c>
      <c r="BW8" s="35">
        <f t="shared" ref="BW8:BZ12" si="3">HLOOKUP(BW$6,Effort_Level,5,FALSE)*(X8*$BJ8)</f>
        <v>0</v>
      </c>
      <c r="BX8" s="35">
        <f t="shared" si="3"/>
        <v>0</v>
      </c>
      <c r="BY8" s="35">
        <f t="shared" si="3"/>
        <v>0</v>
      </c>
      <c r="BZ8" s="35">
        <f t="shared" si="3"/>
        <v>0</v>
      </c>
      <c r="CA8" s="29">
        <f t="shared" ref="CA8:CD12" si="4">HLOOKUP(CA$6,Effort_Level,6,FALSE)*(AB8*$BJ8)</f>
        <v>0</v>
      </c>
      <c r="CB8" s="29">
        <f t="shared" si="4"/>
        <v>0</v>
      </c>
      <c r="CC8" s="29">
        <f t="shared" si="4"/>
        <v>0</v>
      </c>
      <c r="CD8" s="29">
        <f t="shared" si="4"/>
        <v>0</v>
      </c>
      <c r="CE8" s="35">
        <f t="shared" ref="CE8:CH12" si="5">HLOOKUP(CE$6,Effort_Level,7,FALSE)*(AF8*$BJ8)</f>
        <v>0</v>
      </c>
      <c r="CF8" s="35">
        <f t="shared" si="5"/>
        <v>0</v>
      </c>
      <c r="CG8" s="35">
        <f t="shared" si="5"/>
        <v>0</v>
      </c>
      <c r="CH8" s="35">
        <f t="shared" si="5"/>
        <v>0</v>
      </c>
      <c r="CI8" s="29">
        <f t="shared" ref="CI8:CI21" si="6">HLOOKUP(CI$6,Effort_Level,8,FALSE)*(AJ8*$BJ8)</f>
        <v>0</v>
      </c>
      <c r="CJ8" s="29">
        <f t="shared" ref="CJ8:CJ21" si="7">HLOOKUP(CJ$6,Effort_Level,8,FALSE)*(AK8*$BJ8)</f>
        <v>0</v>
      </c>
      <c r="CK8" s="29">
        <f t="shared" ref="CK8:CL12" si="8">HLOOKUP(CK$6,Effort_Level,8,FALSE)*(AL8*$BJ8)</f>
        <v>0</v>
      </c>
      <c r="CL8" s="29">
        <f t="shared" si="8"/>
        <v>0</v>
      </c>
      <c r="CM8" s="35">
        <f t="shared" ref="CM8:CP12" si="9">HLOOKUP(CM$6,Effort_Level,9,FALSE)*(AN8*$BJ8)</f>
        <v>0</v>
      </c>
      <c r="CN8" s="35">
        <f t="shared" si="9"/>
        <v>0</v>
      </c>
      <c r="CO8" s="35">
        <f t="shared" si="9"/>
        <v>0</v>
      </c>
      <c r="CP8" s="35">
        <f t="shared" si="9"/>
        <v>0</v>
      </c>
      <c r="CQ8" s="29">
        <f t="shared" ref="CQ8:CT12" si="10">HLOOKUP(CQ$6,Effort_Level,10,FALSE)*(AR8*$BJ8)</f>
        <v>0</v>
      </c>
      <c r="CR8" s="29">
        <f t="shared" si="10"/>
        <v>0</v>
      </c>
      <c r="CS8" s="29">
        <f t="shared" si="10"/>
        <v>0</v>
      </c>
      <c r="CT8" s="29">
        <f t="shared" si="10"/>
        <v>0</v>
      </c>
      <c r="CU8" s="35">
        <f t="shared" ref="CU8:CX12" si="11">HLOOKUP(CU$6,Effort_Level,11,FALSE)*(AV8*$BJ8)</f>
        <v>0</v>
      </c>
      <c r="CV8" s="35">
        <f t="shared" si="11"/>
        <v>0</v>
      </c>
      <c r="CW8" s="35">
        <f t="shared" si="11"/>
        <v>0</v>
      </c>
      <c r="CX8" s="35">
        <f t="shared" si="11"/>
        <v>0</v>
      </c>
      <c r="CY8" s="29">
        <f t="shared" ref="CY8:DB12" si="12">HLOOKUP(CY$6,Effort_Level,12,FALSE)*(AZ8*$BJ8)</f>
        <v>0</v>
      </c>
      <c r="CZ8" s="29">
        <f t="shared" si="12"/>
        <v>0</v>
      </c>
      <c r="DA8" s="29">
        <f t="shared" si="12"/>
        <v>0</v>
      </c>
      <c r="DB8" s="29">
        <f t="shared" si="12"/>
        <v>0</v>
      </c>
      <c r="DC8" s="35">
        <f t="shared" ref="DC8:DF12" si="13">HLOOKUP(DC$6,Effort_Level,13,FALSE)*(BD8*$BJ8)</f>
        <v>0</v>
      </c>
      <c r="DD8" s="35">
        <f t="shared" si="13"/>
        <v>0</v>
      </c>
      <c r="DE8" s="35">
        <f t="shared" si="13"/>
        <v>0</v>
      </c>
      <c r="DF8" s="35">
        <f t="shared" si="13"/>
        <v>0</v>
      </c>
      <c r="DG8" s="5">
        <f>SUM(BK8:DF8)</f>
        <v>10.56</v>
      </c>
    </row>
    <row r="9" spans="1:111" s="56" customFormat="1" ht="12.75" customHeight="1" x14ac:dyDescent="0.2">
      <c r="A9" s="449" t="s">
        <v>310</v>
      </c>
      <c r="B9" s="450"/>
      <c r="C9" s="450"/>
      <c r="D9" s="450"/>
      <c r="E9" s="450"/>
      <c r="F9" s="450"/>
      <c r="G9" s="450"/>
      <c r="H9" s="450"/>
      <c r="I9" s="450"/>
      <c r="J9" s="451"/>
      <c r="K9" s="136" t="s">
        <v>33</v>
      </c>
      <c r="L9" s="41"/>
      <c r="M9" s="41"/>
      <c r="N9" s="41"/>
      <c r="O9" s="41"/>
      <c r="P9" s="42"/>
      <c r="Q9" s="42"/>
      <c r="R9" s="42"/>
      <c r="S9" s="42"/>
      <c r="T9" s="41"/>
      <c r="U9" s="41"/>
      <c r="V9" s="41"/>
      <c r="W9" s="41"/>
      <c r="X9" s="42"/>
      <c r="Y9" s="42"/>
      <c r="Z9" s="42"/>
      <c r="AA9" s="42"/>
      <c r="AB9" s="41"/>
      <c r="AC9" s="41"/>
      <c r="AD9" s="41"/>
      <c r="AE9" s="41"/>
      <c r="AF9" s="42"/>
      <c r="AG9" s="42"/>
      <c r="AH9" s="42"/>
      <c r="AI9" s="42"/>
      <c r="AJ9" s="41"/>
      <c r="AK9" s="41"/>
      <c r="AL9" s="41"/>
      <c r="AM9" s="41"/>
      <c r="AN9" s="42"/>
      <c r="AO9" s="42"/>
      <c r="AP9" s="42"/>
      <c r="AQ9" s="42">
        <v>1</v>
      </c>
      <c r="AR9" s="41"/>
      <c r="AS9" s="41"/>
      <c r="AT9" s="41"/>
      <c r="AU9" s="41"/>
      <c r="AV9" s="42"/>
      <c r="AW9" s="42"/>
      <c r="AX9" s="42">
        <v>1</v>
      </c>
      <c r="AY9" s="42"/>
      <c r="AZ9" s="41"/>
      <c r="BA9" s="41"/>
      <c r="BB9" s="41"/>
      <c r="BC9" s="41"/>
      <c r="BD9" s="42"/>
      <c r="BE9" s="42"/>
      <c r="BF9" s="42"/>
      <c r="BG9" s="42"/>
      <c r="BH9" s="285">
        <f>SUM(L9:BG9)</f>
        <v>2</v>
      </c>
      <c r="BI9" s="12"/>
      <c r="BJ9" s="38">
        <f>VLOOKUP(K9,[0]!Factor_Range,2,FALSE)</f>
        <v>0.66</v>
      </c>
      <c r="BK9" s="126">
        <f t="shared" ref="BK9" si="14">HLOOKUP(BK$6,Effort_Level,2,FALSE)*(L9*$BJ9)</f>
        <v>0</v>
      </c>
      <c r="BL9" s="126">
        <f t="shared" ref="BL9" si="15">HLOOKUP(BL$6,Effort_Level,2,FALSE)*(M9*$BJ9)</f>
        <v>0</v>
      </c>
      <c r="BM9" s="126">
        <f t="shared" ref="BM9" si="16">HLOOKUP(BM$6,Effort_Level,2,FALSE)*(N9*$BJ9)</f>
        <v>0</v>
      </c>
      <c r="BN9" s="126">
        <f t="shared" ref="BN9" si="17">HLOOKUP(BN$6,Effort_Level,2,FALSE)*(O9*$BJ9)</f>
        <v>0</v>
      </c>
      <c r="BO9" s="35">
        <f t="shared" ref="BO9" si="18">HLOOKUP(BO$6,Effort_Level,3,FALSE)*(P9*$BJ9)</f>
        <v>0</v>
      </c>
      <c r="BP9" s="35">
        <f t="shared" ref="BP9" si="19">HLOOKUP(BP$6,Effort_Level,3,FALSE)*(Q9*$BJ9)</f>
        <v>0</v>
      </c>
      <c r="BQ9" s="35">
        <f t="shared" ref="BQ9" si="20">HLOOKUP(BQ$6,Effort_Level,3,FALSE)*(R9*$BJ9)</f>
        <v>0</v>
      </c>
      <c r="BR9" s="35">
        <f t="shared" ref="BR9" si="21">HLOOKUP(BR$6,Effort_Level,3,FALSE)*(S9*$BJ9)</f>
        <v>0</v>
      </c>
      <c r="BS9" s="126">
        <f t="shared" ref="BS9" si="22">HLOOKUP(BS$6,Effort_Level,4,FALSE)*(T9*$BJ9)</f>
        <v>0</v>
      </c>
      <c r="BT9" s="126">
        <f t="shared" ref="BT9" si="23">HLOOKUP(BT$6,Effort_Level,4,FALSE)*(U9*$BJ9)</f>
        <v>0</v>
      </c>
      <c r="BU9" s="126">
        <f t="shared" ref="BU9" si="24">HLOOKUP(BU$6,Effort_Level,4,FALSE)*(V9*$BJ9)</f>
        <v>0</v>
      </c>
      <c r="BV9" s="126">
        <f t="shared" ref="BV9" si="25">HLOOKUP(BV$6,Effort_Level,4,FALSE)*(W9*$BJ9)</f>
        <v>0</v>
      </c>
      <c r="BW9" s="35">
        <f t="shared" ref="BW9" si="26">HLOOKUP(BW$6,Effort_Level,5,FALSE)*(X9*$BJ9)</f>
        <v>0</v>
      </c>
      <c r="BX9" s="35">
        <f t="shared" ref="BX9" si="27">HLOOKUP(BX$6,Effort_Level,5,FALSE)*(Y9*$BJ9)</f>
        <v>0</v>
      </c>
      <c r="BY9" s="35">
        <f t="shared" ref="BY9" si="28">HLOOKUP(BY$6,Effort_Level,5,FALSE)*(Z9*$BJ9)</f>
        <v>0</v>
      </c>
      <c r="BZ9" s="35">
        <f t="shared" ref="BZ9" si="29">HLOOKUP(BZ$6,Effort_Level,5,FALSE)*(AA9*$BJ9)</f>
        <v>0</v>
      </c>
      <c r="CA9" s="126">
        <f t="shared" ref="CA9" si="30">HLOOKUP(CA$6,Effort_Level,6,FALSE)*(AB9*$BJ9)</f>
        <v>0</v>
      </c>
      <c r="CB9" s="126">
        <f t="shared" ref="CB9" si="31">HLOOKUP(CB$6,Effort_Level,6,FALSE)*(AC9*$BJ9)</f>
        <v>0</v>
      </c>
      <c r="CC9" s="126">
        <f t="shared" ref="CC9" si="32">HLOOKUP(CC$6,Effort_Level,6,FALSE)*(AD9*$BJ9)</f>
        <v>0</v>
      </c>
      <c r="CD9" s="126">
        <f t="shared" ref="CD9" si="33">HLOOKUP(CD$6,Effort_Level,6,FALSE)*(AE9*$BJ9)</f>
        <v>0</v>
      </c>
      <c r="CE9" s="35">
        <f t="shared" ref="CE9" si="34">HLOOKUP(CE$6,Effort_Level,7,FALSE)*(AF9*$BJ9)</f>
        <v>0</v>
      </c>
      <c r="CF9" s="35">
        <f t="shared" ref="CF9" si="35">HLOOKUP(CF$6,Effort_Level,7,FALSE)*(AG9*$BJ9)</f>
        <v>0</v>
      </c>
      <c r="CG9" s="35">
        <f t="shared" ref="CG9" si="36">HLOOKUP(CG$6,Effort_Level,7,FALSE)*(AH9*$BJ9)</f>
        <v>0</v>
      </c>
      <c r="CH9" s="35">
        <f t="shared" ref="CH9" si="37">HLOOKUP(CH$6,Effort_Level,7,FALSE)*(AI9*$BJ9)</f>
        <v>0</v>
      </c>
      <c r="CI9" s="126">
        <f t="shared" si="6"/>
        <v>0</v>
      </c>
      <c r="CJ9" s="126">
        <f t="shared" si="7"/>
        <v>0</v>
      </c>
      <c r="CK9" s="126">
        <f t="shared" ref="CK9" si="38">HLOOKUP(CK$6,Effort_Level,8,FALSE)*(AL9*$BJ9)</f>
        <v>0</v>
      </c>
      <c r="CL9" s="126">
        <f t="shared" ref="CL9" si="39">HLOOKUP(CL$6,Effort_Level,8,FALSE)*(AM9*$BJ9)</f>
        <v>0</v>
      </c>
      <c r="CM9" s="35">
        <f t="shared" ref="CM9" si="40">HLOOKUP(CM$6,Effort_Level,9,FALSE)*(AN9*$BJ9)</f>
        <v>0</v>
      </c>
      <c r="CN9" s="35">
        <f t="shared" ref="CN9" si="41">HLOOKUP(CN$6,Effort_Level,9,FALSE)*(AO9*$BJ9)</f>
        <v>0</v>
      </c>
      <c r="CO9" s="35">
        <f t="shared" ref="CO9" si="42">HLOOKUP(CO$6,Effort_Level,9,FALSE)*(AP9*$BJ9)</f>
        <v>0</v>
      </c>
      <c r="CP9" s="35">
        <f t="shared" ref="CP9" si="43">HLOOKUP(CP$6,Effort_Level,9,FALSE)*(AQ9*$BJ9)</f>
        <v>9.9</v>
      </c>
      <c r="CQ9" s="126">
        <f t="shared" ref="CQ9" si="44">HLOOKUP(CQ$6,Effort_Level,10,FALSE)*(AR9*$BJ9)</f>
        <v>0</v>
      </c>
      <c r="CR9" s="126">
        <f t="shared" ref="CR9" si="45">HLOOKUP(CR$6,Effort_Level,10,FALSE)*(AS9*$BJ9)</f>
        <v>0</v>
      </c>
      <c r="CS9" s="126">
        <f t="shared" ref="CS9" si="46">HLOOKUP(CS$6,Effort_Level,10,FALSE)*(AT9*$BJ9)</f>
        <v>0</v>
      </c>
      <c r="CT9" s="126">
        <f t="shared" ref="CT9" si="47">HLOOKUP(CT$6,Effort_Level,10,FALSE)*(AU9*$BJ9)</f>
        <v>0</v>
      </c>
      <c r="CU9" s="35">
        <f t="shared" ref="CU9" si="48">HLOOKUP(CU$6,Effort_Level,11,FALSE)*(AV9*$BJ9)</f>
        <v>0</v>
      </c>
      <c r="CV9" s="35">
        <f t="shared" ref="CV9" si="49">HLOOKUP(CV$6,Effort_Level,11,FALSE)*(AW9*$BJ9)</f>
        <v>0</v>
      </c>
      <c r="CW9" s="35">
        <f t="shared" ref="CW9" si="50">HLOOKUP(CW$6,Effort_Level,11,FALSE)*(AX9*$BJ9)</f>
        <v>7.92</v>
      </c>
      <c r="CX9" s="35">
        <f t="shared" ref="CX9" si="51">HLOOKUP(CX$6,Effort_Level,11,FALSE)*(AY9*$BJ9)</f>
        <v>0</v>
      </c>
      <c r="CY9" s="126">
        <f t="shared" ref="CY9" si="52">HLOOKUP(CY$6,Effort_Level,12,FALSE)*(AZ9*$BJ9)</f>
        <v>0</v>
      </c>
      <c r="CZ9" s="126">
        <f t="shared" ref="CZ9" si="53">HLOOKUP(CZ$6,Effort_Level,12,FALSE)*(BA9*$BJ9)</f>
        <v>0</v>
      </c>
      <c r="DA9" s="126">
        <f t="shared" ref="DA9" si="54">HLOOKUP(DA$6,Effort_Level,12,FALSE)*(BB9*$BJ9)</f>
        <v>0</v>
      </c>
      <c r="DB9" s="126">
        <f t="shared" ref="DB9" si="55">HLOOKUP(DB$6,Effort_Level,12,FALSE)*(BC9*$BJ9)</f>
        <v>0</v>
      </c>
      <c r="DC9" s="35">
        <f t="shared" ref="DC9" si="56">HLOOKUP(DC$6,Effort_Level,13,FALSE)*(BD9*$BJ9)</f>
        <v>0</v>
      </c>
      <c r="DD9" s="35">
        <f t="shared" ref="DD9" si="57">HLOOKUP(DD$6,Effort_Level,13,FALSE)*(BE9*$BJ9)</f>
        <v>0</v>
      </c>
      <c r="DE9" s="35">
        <f t="shared" ref="DE9" si="58">HLOOKUP(DE$6,Effort_Level,13,FALSE)*(BF9*$BJ9)</f>
        <v>0</v>
      </c>
      <c r="DF9" s="35">
        <f t="shared" ref="DF9" si="59">HLOOKUP(DF$6,Effort_Level,13,FALSE)*(BG9*$BJ9)</f>
        <v>0</v>
      </c>
      <c r="DG9" s="5">
        <f>SUM(BK9:DF9)</f>
        <v>17.82</v>
      </c>
    </row>
    <row r="10" spans="1:111" s="56" customFormat="1" ht="11.25" customHeight="1" x14ac:dyDescent="0.2">
      <c r="A10" s="449" t="s">
        <v>311</v>
      </c>
      <c r="B10" s="450"/>
      <c r="C10" s="450"/>
      <c r="D10" s="450"/>
      <c r="E10" s="450"/>
      <c r="F10" s="450"/>
      <c r="G10" s="450"/>
      <c r="H10" s="450"/>
      <c r="I10" s="450"/>
      <c r="J10" s="451"/>
      <c r="K10" s="136" t="s">
        <v>33</v>
      </c>
      <c r="L10" s="41"/>
      <c r="M10" s="41"/>
      <c r="N10" s="41"/>
      <c r="O10" s="41"/>
      <c r="P10" s="42"/>
      <c r="Q10" s="42"/>
      <c r="R10" s="42"/>
      <c r="S10" s="42"/>
      <c r="T10" s="41"/>
      <c r="U10" s="41"/>
      <c r="V10" s="41"/>
      <c r="W10" s="41"/>
      <c r="X10" s="42"/>
      <c r="Y10" s="42"/>
      <c r="Z10" s="42"/>
      <c r="AA10" s="42"/>
      <c r="AB10" s="41"/>
      <c r="AC10" s="41"/>
      <c r="AD10" s="41"/>
      <c r="AE10" s="41"/>
      <c r="AF10" s="42"/>
      <c r="AG10" s="42"/>
      <c r="AH10" s="42"/>
      <c r="AI10" s="42"/>
      <c r="AJ10" s="41"/>
      <c r="AK10" s="41"/>
      <c r="AL10" s="41"/>
      <c r="AM10" s="41"/>
      <c r="AN10" s="42"/>
      <c r="AO10" s="42"/>
      <c r="AP10" s="42"/>
      <c r="AQ10" s="42">
        <v>1</v>
      </c>
      <c r="AR10" s="41"/>
      <c r="AS10" s="41"/>
      <c r="AT10" s="41"/>
      <c r="AU10" s="41"/>
      <c r="AV10" s="42"/>
      <c r="AW10" s="42"/>
      <c r="AX10" s="42">
        <v>1</v>
      </c>
      <c r="AY10" s="42"/>
      <c r="AZ10" s="41"/>
      <c r="BA10" s="41"/>
      <c r="BB10" s="41"/>
      <c r="BC10" s="41"/>
      <c r="BD10" s="42"/>
      <c r="BE10" s="42"/>
      <c r="BF10" s="42"/>
      <c r="BG10" s="42"/>
      <c r="BH10" s="285">
        <f>SUM(L10:BG10)</f>
        <v>2</v>
      </c>
      <c r="BI10" s="12"/>
      <c r="BJ10" s="38">
        <f>VLOOKUP(K10,[0]!Factor_Range,2,FALSE)</f>
        <v>0.66</v>
      </c>
      <c r="BK10" s="126">
        <f t="shared" ref="BK10:BN11" si="60">HLOOKUP(BK$6,Effort_Level,2,FALSE)*(L10*$BJ10)</f>
        <v>0</v>
      </c>
      <c r="BL10" s="126">
        <f t="shared" si="60"/>
        <v>0</v>
      </c>
      <c r="BM10" s="126">
        <f t="shared" si="60"/>
        <v>0</v>
      </c>
      <c r="BN10" s="126">
        <f t="shared" si="60"/>
        <v>0</v>
      </c>
      <c r="BO10" s="35">
        <f t="shared" ref="BO10:BR11" si="61">HLOOKUP(BO$6,Effort_Level,3,FALSE)*(P10*$BJ10)</f>
        <v>0</v>
      </c>
      <c r="BP10" s="35">
        <f t="shared" si="61"/>
        <v>0</v>
      </c>
      <c r="BQ10" s="35">
        <f t="shared" si="61"/>
        <v>0</v>
      </c>
      <c r="BR10" s="35">
        <f t="shared" si="61"/>
        <v>0</v>
      </c>
      <c r="BS10" s="126">
        <f t="shared" ref="BS10:BV11" si="62">HLOOKUP(BS$6,Effort_Level,4,FALSE)*(T10*$BJ10)</f>
        <v>0</v>
      </c>
      <c r="BT10" s="126">
        <f t="shared" si="62"/>
        <v>0</v>
      </c>
      <c r="BU10" s="126">
        <f t="shared" si="62"/>
        <v>0</v>
      </c>
      <c r="BV10" s="126">
        <f t="shared" si="62"/>
        <v>0</v>
      </c>
      <c r="BW10" s="35">
        <f t="shared" ref="BW10:BZ11" si="63">HLOOKUP(BW$6,Effort_Level,5,FALSE)*(X10*$BJ10)</f>
        <v>0</v>
      </c>
      <c r="BX10" s="35">
        <f t="shared" si="63"/>
        <v>0</v>
      </c>
      <c r="BY10" s="35">
        <f t="shared" si="63"/>
        <v>0</v>
      </c>
      <c r="BZ10" s="35">
        <f t="shared" si="63"/>
        <v>0</v>
      </c>
      <c r="CA10" s="126">
        <f t="shared" ref="CA10:CD11" si="64">HLOOKUP(CA$6,Effort_Level,6,FALSE)*(AB10*$BJ10)</f>
        <v>0</v>
      </c>
      <c r="CB10" s="126">
        <f t="shared" si="64"/>
        <v>0</v>
      </c>
      <c r="CC10" s="126">
        <f t="shared" si="64"/>
        <v>0</v>
      </c>
      <c r="CD10" s="126">
        <f t="shared" si="64"/>
        <v>0</v>
      </c>
      <c r="CE10" s="35">
        <f t="shared" ref="CE10:CH11" si="65">HLOOKUP(CE$6,Effort_Level,7,FALSE)*(AF10*$BJ10)</f>
        <v>0</v>
      </c>
      <c r="CF10" s="35">
        <f t="shared" si="65"/>
        <v>0</v>
      </c>
      <c r="CG10" s="35">
        <f t="shared" si="65"/>
        <v>0</v>
      </c>
      <c r="CH10" s="35">
        <f t="shared" si="65"/>
        <v>0</v>
      </c>
      <c r="CI10" s="126">
        <f t="shared" si="6"/>
        <v>0</v>
      </c>
      <c r="CJ10" s="126">
        <f t="shared" si="7"/>
        <v>0</v>
      </c>
      <c r="CK10" s="126">
        <f t="shared" ref="CK10:CL11" si="66">HLOOKUP(CK$6,Effort_Level,8,FALSE)*(AL10*$BJ10)</f>
        <v>0</v>
      </c>
      <c r="CL10" s="126">
        <f t="shared" si="66"/>
        <v>0</v>
      </c>
      <c r="CM10" s="35">
        <f t="shared" ref="CM10:CP11" si="67">HLOOKUP(CM$6,Effort_Level,9,FALSE)*(AN10*$BJ10)</f>
        <v>0</v>
      </c>
      <c r="CN10" s="35">
        <f t="shared" si="67"/>
        <v>0</v>
      </c>
      <c r="CO10" s="35">
        <f t="shared" si="67"/>
        <v>0</v>
      </c>
      <c r="CP10" s="35">
        <f t="shared" si="67"/>
        <v>9.9</v>
      </c>
      <c r="CQ10" s="126">
        <f t="shared" ref="CQ10:CT11" si="68">HLOOKUP(CQ$6,Effort_Level,10,FALSE)*(AR10*$BJ10)</f>
        <v>0</v>
      </c>
      <c r="CR10" s="126">
        <f t="shared" si="68"/>
        <v>0</v>
      </c>
      <c r="CS10" s="126">
        <f t="shared" si="68"/>
        <v>0</v>
      </c>
      <c r="CT10" s="126">
        <f t="shared" si="68"/>
        <v>0</v>
      </c>
      <c r="CU10" s="35">
        <f t="shared" ref="CU10:CX11" si="69">HLOOKUP(CU$6,Effort_Level,11,FALSE)*(AV10*$BJ10)</f>
        <v>0</v>
      </c>
      <c r="CV10" s="35">
        <f t="shared" si="69"/>
        <v>0</v>
      </c>
      <c r="CW10" s="35">
        <f t="shared" si="69"/>
        <v>7.92</v>
      </c>
      <c r="CX10" s="35">
        <f t="shared" si="69"/>
        <v>0</v>
      </c>
      <c r="CY10" s="126">
        <f t="shared" ref="CY10:DB11" si="70">HLOOKUP(CY$6,Effort_Level,12,FALSE)*(AZ10*$BJ10)</f>
        <v>0</v>
      </c>
      <c r="CZ10" s="126">
        <f t="shared" si="70"/>
        <v>0</v>
      </c>
      <c r="DA10" s="126">
        <f t="shared" si="70"/>
        <v>0</v>
      </c>
      <c r="DB10" s="126">
        <f t="shared" si="70"/>
        <v>0</v>
      </c>
      <c r="DC10" s="35">
        <f t="shared" ref="DC10:DF11" si="71">HLOOKUP(DC$6,Effort_Level,13,FALSE)*(BD10*$BJ10)</f>
        <v>0</v>
      </c>
      <c r="DD10" s="35">
        <f t="shared" si="71"/>
        <v>0</v>
      </c>
      <c r="DE10" s="35">
        <f t="shared" si="71"/>
        <v>0</v>
      </c>
      <c r="DF10" s="35">
        <f t="shared" si="71"/>
        <v>0</v>
      </c>
      <c r="DG10" s="5">
        <f>SUM(BK10:DF10)</f>
        <v>17.82</v>
      </c>
    </row>
    <row r="11" spans="1:111" s="56" customFormat="1" ht="12.75" customHeight="1" x14ac:dyDescent="0.2">
      <c r="A11" s="449" t="s">
        <v>312</v>
      </c>
      <c r="B11" s="450"/>
      <c r="C11" s="450"/>
      <c r="D11" s="450"/>
      <c r="E11" s="450"/>
      <c r="F11" s="450"/>
      <c r="G11" s="450"/>
      <c r="H11" s="450"/>
      <c r="I11" s="450"/>
      <c r="J11" s="451"/>
      <c r="K11" s="136" t="s">
        <v>33</v>
      </c>
      <c r="L11" s="41"/>
      <c r="M11" s="41"/>
      <c r="N11" s="41"/>
      <c r="O11" s="41">
        <v>1</v>
      </c>
      <c r="P11" s="42"/>
      <c r="Q11" s="42"/>
      <c r="R11" s="42"/>
      <c r="S11" s="42"/>
      <c r="T11" s="41"/>
      <c r="U11" s="41"/>
      <c r="V11" s="41"/>
      <c r="W11" s="41"/>
      <c r="X11" s="42"/>
      <c r="Y11" s="42"/>
      <c r="Z11" s="42"/>
      <c r="AA11" s="42"/>
      <c r="AB11" s="41"/>
      <c r="AC11" s="41"/>
      <c r="AD11" s="41"/>
      <c r="AE11" s="41"/>
      <c r="AF11" s="42"/>
      <c r="AG11" s="42"/>
      <c r="AH11" s="42"/>
      <c r="AI11" s="42"/>
      <c r="AJ11" s="41"/>
      <c r="AK11" s="41"/>
      <c r="AL11" s="41"/>
      <c r="AM11" s="41"/>
      <c r="AN11" s="42"/>
      <c r="AO11" s="42"/>
      <c r="AP11" s="42"/>
      <c r="AQ11" s="42"/>
      <c r="AR11" s="41"/>
      <c r="AS11" s="41"/>
      <c r="AT11" s="41"/>
      <c r="AU11" s="41"/>
      <c r="AV11" s="42"/>
      <c r="AW11" s="42"/>
      <c r="AX11" s="42"/>
      <c r="AY11" s="42"/>
      <c r="AZ11" s="41"/>
      <c r="BA11" s="41"/>
      <c r="BB11" s="41"/>
      <c r="BC11" s="41"/>
      <c r="BD11" s="42"/>
      <c r="BE11" s="42"/>
      <c r="BF11" s="42"/>
      <c r="BG11" s="42"/>
      <c r="BH11" s="285">
        <f>SUM(L11:BG11)</f>
        <v>1</v>
      </c>
      <c r="BI11" s="12"/>
      <c r="BJ11" s="38">
        <f>VLOOKUP(K11,[0]!Factor_Range,2,FALSE)</f>
        <v>0.66</v>
      </c>
      <c r="BK11" s="126">
        <f t="shared" si="60"/>
        <v>0</v>
      </c>
      <c r="BL11" s="126">
        <f t="shared" si="60"/>
        <v>0</v>
      </c>
      <c r="BM11" s="126">
        <f t="shared" si="60"/>
        <v>0</v>
      </c>
      <c r="BN11" s="126">
        <f t="shared" si="60"/>
        <v>10.56</v>
      </c>
      <c r="BO11" s="35">
        <f t="shared" si="61"/>
        <v>0</v>
      </c>
      <c r="BP11" s="35">
        <f t="shared" si="61"/>
        <v>0</v>
      </c>
      <c r="BQ11" s="35">
        <f t="shared" si="61"/>
        <v>0</v>
      </c>
      <c r="BR11" s="35">
        <f t="shared" si="61"/>
        <v>0</v>
      </c>
      <c r="BS11" s="126">
        <f t="shared" si="62"/>
        <v>0</v>
      </c>
      <c r="BT11" s="126">
        <f t="shared" si="62"/>
        <v>0</v>
      </c>
      <c r="BU11" s="126">
        <f t="shared" si="62"/>
        <v>0</v>
      </c>
      <c r="BV11" s="126">
        <f t="shared" si="62"/>
        <v>0</v>
      </c>
      <c r="BW11" s="35">
        <f t="shared" si="63"/>
        <v>0</v>
      </c>
      <c r="BX11" s="35">
        <f t="shared" si="63"/>
        <v>0</v>
      </c>
      <c r="BY11" s="35">
        <f t="shared" si="63"/>
        <v>0</v>
      </c>
      <c r="BZ11" s="35">
        <f t="shared" si="63"/>
        <v>0</v>
      </c>
      <c r="CA11" s="126">
        <f t="shared" si="64"/>
        <v>0</v>
      </c>
      <c r="CB11" s="126">
        <f t="shared" si="64"/>
        <v>0</v>
      </c>
      <c r="CC11" s="126">
        <f t="shared" si="64"/>
        <v>0</v>
      </c>
      <c r="CD11" s="126">
        <f t="shared" si="64"/>
        <v>0</v>
      </c>
      <c r="CE11" s="35">
        <f t="shared" si="65"/>
        <v>0</v>
      </c>
      <c r="CF11" s="35">
        <f t="shared" si="65"/>
        <v>0</v>
      </c>
      <c r="CG11" s="35">
        <f t="shared" si="65"/>
        <v>0</v>
      </c>
      <c r="CH11" s="35">
        <f t="shared" si="65"/>
        <v>0</v>
      </c>
      <c r="CI11" s="126">
        <f t="shared" si="6"/>
        <v>0</v>
      </c>
      <c r="CJ11" s="126">
        <f t="shared" si="7"/>
        <v>0</v>
      </c>
      <c r="CK11" s="126">
        <f t="shared" si="66"/>
        <v>0</v>
      </c>
      <c r="CL11" s="126">
        <f t="shared" si="66"/>
        <v>0</v>
      </c>
      <c r="CM11" s="35">
        <f t="shared" si="67"/>
        <v>0</v>
      </c>
      <c r="CN11" s="35">
        <f t="shared" si="67"/>
        <v>0</v>
      </c>
      <c r="CO11" s="35">
        <f t="shared" si="67"/>
        <v>0</v>
      </c>
      <c r="CP11" s="35">
        <f t="shared" si="67"/>
        <v>0</v>
      </c>
      <c r="CQ11" s="126">
        <f t="shared" si="68"/>
        <v>0</v>
      </c>
      <c r="CR11" s="126">
        <f t="shared" si="68"/>
        <v>0</v>
      </c>
      <c r="CS11" s="126">
        <f t="shared" si="68"/>
        <v>0</v>
      </c>
      <c r="CT11" s="126">
        <f t="shared" si="68"/>
        <v>0</v>
      </c>
      <c r="CU11" s="35">
        <f t="shared" si="69"/>
        <v>0</v>
      </c>
      <c r="CV11" s="35">
        <f t="shared" si="69"/>
        <v>0</v>
      </c>
      <c r="CW11" s="35">
        <f t="shared" si="69"/>
        <v>0</v>
      </c>
      <c r="CX11" s="35">
        <f t="shared" si="69"/>
        <v>0</v>
      </c>
      <c r="CY11" s="126">
        <f t="shared" si="70"/>
        <v>0</v>
      </c>
      <c r="CZ11" s="126">
        <f t="shared" si="70"/>
        <v>0</v>
      </c>
      <c r="DA11" s="126">
        <f t="shared" si="70"/>
        <v>0</v>
      </c>
      <c r="DB11" s="126">
        <f t="shared" si="70"/>
        <v>0</v>
      </c>
      <c r="DC11" s="35">
        <f t="shared" si="71"/>
        <v>0</v>
      </c>
      <c r="DD11" s="35">
        <f t="shared" si="71"/>
        <v>0</v>
      </c>
      <c r="DE11" s="35">
        <f t="shared" si="71"/>
        <v>0</v>
      </c>
      <c r="DF11" s="35">
        <f t="shared" si="71"/>
        <v>0</v>
      </c>
      <c r="DG11" s="5">
        <f>SUM(BK11:DF11)</f>
        <v>10.56</v>
      </c>
    </row>
    <row r="12" spans="1:111" s="56" customFormat="1" ht="12.75" customHeight="1" x14ac:dyDescent="0.2">
      <c r="A12" s="401"/>
      <c r="B12" s="402"/>
      <c r="C12" s="402"/>
      <c r="D12" s="402"/>
      <c r="E12" s="402"/>
      <c r="F12" s="402"/>
      <c r="G12" s="402"/>
      <c r="H12" s="402"/>
      <c r="I12" s="402"/>
      <c r="J12" s="403"/>
      <c r="K12" s="136" t="s">
        <v>32</v>
      </c>
      <c r="L12" s="41"/>
      <c r="M12" s="41"/>
      <c r="N12" s="41"/>
      <c r="O12" s="41"/>
      <c r="P12" s="42"/>
      <c r="Q12" s="42"/>
      <c r="R12" s="42"/>
      <c r="S12" s="42"/>
      <c r="T12" s="41"/>
      <c r="U12" s="41"/>
      <c r="V12" s="41"/>
      <c r="W12" s="41"/>
      <c r="X12" s="42"/>
      <c r="Y12" s="42"/>
      <c r="Z12" s="42"/>
      <c r="AA12" s="42"/>
      <c r="AB12" s="41"/>
      <c r="AC12" s="41"/>
      <c r="AD12" s="41"/>
      <c r="AE12" s="41"/>
      <c r="AF12" s="42"/>
      <c r="AG12" s="42"/>
      <c r="AH12" s="42"/>
      <c r="AI12" s="42"/>
      <c r="AJ12" s="41"/>
      <c r="AK12" s="41"/>
      <c r="AL12" s="41"/>
      <c r="AM12" s="41"/>
      <c r="AN12" s="42"/>
      <c r="AO12" s="42"/>
      <c r="AP12" s="42"/>
      <c r="AQ12" s="42"/>
      <c r="AR12" s="41"/>
      <c r="AS12" s="41"/>
      <c r="AT12" s="41"/>
      <c r="AU12" s="41"/>
      <c r="AV12" s="42"/>
      <c r="AW12" s="42"/>
      <c r="AX12" s="42"/>
      <c r="AY12" s="42"/>
      <c r="AZ12" s="41"/>
      <c r="BA12" s="41"/>
      <c r="BB12" s="41"/>
      <c r="BC12" s="41"/>
      <c r="BD12" s="42"/>
      <c r="BE12" s="42"/>
      <c r="BF12" s="42"/>
      <c r="BG12" s="42"/>
      <c r="BH12" s="285">
        <f>SUM(L12:BG12)</f>
        <v>0</v>
      </c>
      <c r="BI12" s="12"/>
      <c r="BJ12" s="38">
        <f>VLOOKUP(K12,[0]!Factor_Range,2,FALSE)</f>
        <v>1</v>
      </c>
      <c r="BK12" s="29">
        <f t="shared" si="0"/>
        <v>0</v>
      </c>
      <c r="BL12" s="29">
        <f t="shared" si="0"/>
        <v>0</v>
      </c>
      <c r="BM12" s="29">
        <f t="shared" si="0"/>
        <v>0</v>
      </c>
      <c r="BN12" s="29">
        <f t="shared" si="0"/>
        <v>0</v>
      </c>
      <c r="BO12" s="35">
        <f t="shared" si="1"/>
        <v>0</v>
      </c>
      <c r="BP12" s="35">
        <f t="shared" si="1"/>
        <v>0</v>
      </c>
      <c r="BQ12" s="35">
        <f t="shared" si="1"/>
        <v>0</v>
      </c>
      <c r="BR12" s="35">
        <f t="shared" si="1"/>
        <v>0</v>
      </c>
      <c r="BS12" s="29">
        <f t="shared" si="2"/>
        <v>0</v>
      </c>
      <c r="BT12" s="29">
        <f t="shared" si="2"/>
        <v>0</v>
      </c>
      <c r="BU12" s="29">
        <f t="shared" si="2"/>
        <v>0</v>
      </c>
      <c r="BV12" s="29">
        <f t="shared" si="2"/>
        <v>0</v>
      </c>
      <c r="BW12" s="35">
        <f t="shared" si="3"/>
        <v>0</v>
      </c>
      <c r="BX12" s="35">
        <f t="shared" si="3"/>
        <v>0</v>
      </c>
      <c r="BY12" s="35">
        <f t="shared" si="3"/>
        <v>0</v>
      </c>
      <c r="BZ12" s="35">
        <f t="shared" si="3"/>
        <v>0</v>
      </c>
      <c r="CA12" s="29">
        <f t="shared" si="4"/>
        <v>0</v>
      </c>
      <c r="CB12" s="29">
        <f t="shared" si="4"/>
        <v>0</v>
      </c>
      <c r="CC12" s="29">
        <f t="shared" si="4"/>
        <v>0</v>
      </c>
      <c r="CD12" s="29">
        <f t="shared" si="4"/>
        <v>0</v>
      </c>
      <c r="CE12" s="35">
        <f t="shared" si="5"/>
        <v>0</v>
      </c>
      <c r="CF12" s="35">
        <f t="shared" si="5"/>
        <v>0</v>
      </c>
      <c r="CG12" s="35">
        <f t="shared" si="5"/>
        <v>0</v>
      </c>
      <c r="CH12" s="35">
        <f t="shared" si="5"/>
        <v>0</v>
      </c>
      <c r="CI12" s="29">
        <f t="shared" si="6"/>
        <v>0</v>
      </c>
      <c r="CJ12" s="29">
        <f t="shared" si="7"/>
        <v>0</v>
      </c>
      <c r="CK12" s="29">
        <f t="shared" si="8"/>
        <v>0</v>
      </c>
      <c r="CL12" s="29">
        <f t="shared" si="8"/>
        <v>0</v>
      </c>
      <c r="CM12" s="35">
        <f t="shared" si="9"/>
        <v>0</v>
      </c>
      <c r="CN12" s="35">
        <f t="shared" si="9"/>
        <v>0</v>
      </c>
      <c r="CO12" s="35">
        <f t="shared" si="9"/>
        <v>0</v>
      </c>
      <c r="CP12" s="35">
        <f t="shared" si="9"/>
        <v>0</v>
      </c>
      <c r="CQ12" s="29">
        <f t="shared" si="10"/>
        <v>0</v>
      </c>
      <c r="CR12" s="29">
        <f t="shared" si="10"/>
        <v>0</v>
      </c>
      <c r="CS12" s="29">
        <f t="shared" si="10"/>
        <v>0</v>
      </c>
      <c r="CT12" s="29">
        <f t="shared" si="10"/>
        <v>0</v>
      </c>
      <c r="CU12" s="35">
        <f t="shared" si="11"/>
        <v>0</v>
      </c>
      <c r="CV12" s="35">
        <f t="shared" si="11"/>
        <v>0</v>
      </c>
      <c r="CW12" s="35">
        <f t="shared" si="11"/>
        <v>0</v>
      </c>
      <c r="CX12" s="35">
        <f t="shared" si="11"/>
        <v>0</v>
      </c>
      <c r="CY12" s="29">
        <f t="shared" si="12"/>
        <v>0</v>
      </c>
      <c r="CZ12" s="29">
        <f t="shared" si="12"/>
        <v>0</v>
      </c>
      <c r="DA12" s="29">
        <f t="shared" si="12"/>
        <v>0</v>
      </c>
      <c r="DB12" s="29">
        <f t="shared" si="12"/>
        <v>0</v>
      </c>
      <c r="DC12" s="35">
        <f t="shared" si="13"/>
        <v>0</v>
      </c>
      <c r="DD12" s="35">
        <f t="shared" si="13"/>
        <v>0</v>
      </c>
      <c r="DE12" s="35">
        <f t="shared" si="13"/>
        <v>0</v>
      </c>
      <c r="DF12" s="35">
        <f t="shared" si="13"/>
        <v>0</v>
      </c>
      <c r="DG12" s="5">
        <f>SUM(BK12:DF12)</f>
        <v>0</v>
      </c>
    </row>
    <row r="13" spans="1:111" s="56" customFormat="1" ht="12.75" customHeight="1" x14ac:dyDescent="0.2">
      <c r="A13" s="401"/>
      <c r="B13" s="402"/>
      <c r="C13" s="402"/>
      <c r="D13" s="402"/>
      <c r="E13" s="402"/>
      <c r="F13" s="402"/>
      <c r="G13" s="402"/>
      <c r="H13" s="402"/>
      <c r="I13" s="402"/>
      <c r="J13" s="403"/>
      <c r="K13" s="136" t="s">
        <v>32</v>
      </c>
      <c r="L13" s="41"/>
      <c r="M13" s="41"/>
      <c r="N13" s="41"/>
      <c r="O13" s="41"/>
      <c r="P13" s="42"/>
      <c r="Q13" s="42"/>
      <c r="R13" s="42"/>
      <c r="S13" s="42"/>
      <c r="T13" s="41"/>
      <c r="U13" s="41"/>
      <c r="V13" s="41"/>
      <c r="W13" s="41"/>
      <c r="X13" s="42"/>
      <c r="Y13" s="42"/>
      <c r="Z13" s="42"/>
      <c r="AA13" s="42"/>
      <c r="AB13" s="41"/>
      <c r="AC13" s="41"/>
      <c r="AD13" s="41"/>
      <c r="AE13" s="41"/>
      <c r="AF13" s="42"/>
      <c r="AG13" s="42"/>
      <c r="AH13" s="42"/>
      <c r="AI13" s="42"/>
      <c r="AJ13" s="41"/>
      <c r="AK13" s="41"/>
      <c r="AL13" s="41"/>
      <c r="AM13" s="41"/>
      <c r="AN13" s="42"/>
      <c r="AO13" s="42"/>
      <c r="AP13" s="42"/>
      <c r="AQ13" s="42"/>
      <c r="AR13" s="41"/>
      <c r="AS13" s="41"/>
      <c r="AT13" s="41"/>
      <c r="AU13" s="41"/>
      <c r="AV13" s="42"/>
      <c r="AW13" s="42"/>
      <c r="AX13" s="42"/>
      <c r="AY13" s="42"/>
      <c r="AZ13" s="41"/>
      <c r="BA13" s="41"/>
      <c r="BB13" s="41"/>
      <c r="BC13" s="41"/>
      <c r="BD13" s="42"/>
      <c r="BE13" s="42"/>
      <c r="BF13" s="42"/>
      <c r="BG13" s="42"/>
      <c r="BH13" s="285">
        <f t="shared" ref="BH13:BH26" si="72">SUM(L13:BG13)</f>
        <v>0</v>
      </c>
      <c r="BI13" s="12"/>
      <c r="BJ13" s="38">
        <f>VLOOKUP(K13,[0]!Factor_Range,2,FALSE)</f>
        <v>1</v>
      </c>
      <c r="BK13" s="126">
        <f t="shared" ref="BK13:BK26" si="73">HLOOKUP(BK$6,Effort_Level,2,FALSE)*(L13*$BJ13)</f>
        <v>0</v>
      </c>
      <c r="BL13" s="126">
        <f t="shared" ref="BL13:BL26" si="74">HLOOKUP(BL$6,Effort_Level,2,FALSE)*(M13*$BJ13)</f>
        <v>0</v>
      </c>
      <c r="BM13" s="126">
        <f t="shared" ref="BM13:BM26" si="75">HLOOKUP(BM$6,Effort_Level,2,FALSE)*(N13*$BJ13)</f>
        <v>0</v>
      </c>
      <c r="BN13" s="126">
        <f t="shared" ref="BN13:BN26" si="76">HLOOKUP(BN$6,Effort_Level,2,FALSE)*(O13*$BJ13)</f>
        <v>0</v>
      </c>
      <c r="BO13" s="35">
        <f t="shared" ref="BO13:BO26" si="77">HLOOKUP(BO$6,Effort_Level,3,FALSE)*(P13*$BJ13)</f>
        <v>0</v>
      </c>
      <c r="BP13" s="35">
        <f t="shared" ref="BP13:BP26" si="78">HLOOKUP(BP$6,Effort_Level,3,FALSE)*(Q13*$BJ13)</f>
        <v>0</v>
      </c>
      <c r="BQ13" s="35">
        <f t="shared" ref="BQ13:BQ26" si="79">HLOOKUP(BQ$6,Effort_Level,3,FALSE)*(R13*$BJ13)</f>
        <v>0</v>
      </c>
      <c r="BR13" s="35">
        <f t="shared" ref="BR13:BR26" si="80">HLOOKUP(BR$6,Effort_Level,3,FALSE)*(S13*$BJ13)</f>
        <v>0</v>
      </c>
      <c r="BS13" s="126">
        <f t="shared" ref="BS13:BS26" si="81">HLOOKUP(BS$6,Effort_Level,4,FALSE)*(T13*$BJ13)</f>
        <v>0</v>
      </c>
      <c r="BT13" s="126">
        <f t="shared" ref="BT13:BT26" si="82">HLOOKUP(BT$6,Effort_Level,4,FALSE)*(U13*$BJ13)</f>
        <v>0</v>
      </c>
      <c r="BU13" s="126">
        <f t="shared" ref="BU13:BU26" si="83">HLOOKUP(BU$6,Effort_Level,4,FALSE)*(V13*$BJ13)</f>
        <v>0</v>
      </c>
      <c r="BV13" s="126">
        <f t="shared" ref="BV13:BV26" si="84">HLOOKUP(BV$6,Effort_Level,4,FALSE)*(W13*$BJ13)</f>
        <v>0</v>
      </c>
      <c r="BW13" s="35">
        <f t="shared" ref="BW13:BW26" si="85">HLOOKUP(BW$6,Effort_Level,5,FALSE)*(X13*$BJ13)</f>
        <v>0</v>
      </c>
      <c r="BX13" s="35">
        <f t="shared" ref="BX13:BX26" si="86">HLOOKUP(BX$6,Effort_Level,5,FALSE)*(Y13*$BJ13)</f>
        <v>0</v>
      </c>
      <c r="BY13" s="35">
        <f t="shared" ref="BY13:BY26" si="87">HLOOKUP(BY$6,Effort_Level,5,FALSE)*(Z13*$BJ13)</f>
        <v>0</v>
      </c>
      <c r="BZ13" s="35">
        <f t="shared" ref="BZ13:BZ26" si="88">HLOOKUP(BZ$6,Effort_Level,5,FALSE)*(AA13*$BJ13)</f>
        <v>0</v>
      </c>
      <c r="CA13" s="126">
        <f t="shared" ref="CA13:CA26" si="89">HLOOKUP(CA$6,Effort_Level,6,FALSE)*(AB13*$BJ13)</f>
        <v>0</v>
      </c>
      <c r="CB13" s="126">
        <f t="shared" ref="CB13:CB26" si="90">HLOOKUP(CB$6,Effort_Level,6,FALSE)*(AC13*$BJ13)</f>
        <v>0</v>
      </c>
      <c r="CC13" s="126">
        <f t="shared" ref="CC13:CC26" si="91">HLOOKUP(CC$6,Effort_Level,6,FALSE)*(AD13*$BJ13)</f>
        <v>0</v>
      </c>
      <c r="CD13" s="126">
        <f t="shared" ref="CD13:CD26" si="92">HLOOKUP(CD$6,Effort_Level,6,FALSE)*(AE13*$BJ13)</f>
        <v>0</v>
      </c>
      <c r="CE13" s="35">
        <f t="shared" ref="CE13:CE26" si="93">HLOOKUP(CE$6,Effort_Level,7,FALSE)*(AF13*$BJ13)</f>
        <v>0</v>
      </c>
      <c r="CF13" s="35">
        <f t="shared" ref="CF13:CF26" si="94">HLOOKUP(CF$6,Effort_Level,7,FALSE)*(AG13*$BJ13)</f>
        <v>0</v>
      </c>
      <c r="CG13" s="35">
        <f t="shared" ref="CG13:CG26" si="95">HLOOKUP(CG$6,Effort_Level,7,FALSE)*(AH13*$BJ13)</f>
        <v>0</v>
      </c>
      <c r="CH13" s="35">
        <f t="shared" ref="CH13:CH26" si="96">HLOOKUP(CH$6,Effort_Level,7,FALSE)*(AI13*$BJ13)</f>
        <v>0</v>
      </c>
      <c r="CI13" s="126">
        <f t="shared" si="6"/>
        <v>0</v>
      </c>
      <c r="CJ13" s="126">
        <f t="shared" si="7"/>
        <v>0</v>
      </c>
      <c r="CK13" s="126">
        <f t="shared" ref="CK13:CK26" si="97">HLOOKUP(CK$6,Effort_Level,8,FALSE)*(AL13*$BJ13)</f>
        <v>0</v>
      </c>
      <c r="CL13" s="126">
        <f t="shared" ref="CL13:CL26" si="98">HLOOKUP(CL$6,Effort_Level,8,FALSE)*(AM13*$BJ13)</f>
        <v>0</v>
      </c>
      <c r="CM13" s="35">
        <f t="shared" ref="CM13:CM26" si="99">HLOOKUP(CM$6,Effort_Level,9,FALSE)*(AN13*$BJ13)</f>
        <v>0</v>
      </c>
      <c r="CN13" s="35">
        <f t="shared" ref="CN13:CN26" si="100">HLOOKUP(CN$6,Effort_Level,9,FALSE)*(AO13*$BJ13)</f>
        <v>0</v>
      </c>
      <c r="CO13" s="35">
        <f t="shared" ref="CO13:CO26" si="101">HLOOKUP(CO$6,Effort_Level,9,FALSE)*(AP13*$BJ13)</f>
        <v>0</v>
      </c>
      <c r="CP13" s="35">
        <f t="shared" ref="CP13:CP26" si="102">HLOOKUP(CP$6,Effort_Level,9,FALSE)*(AQ13*$BJ13)</f>
        <v>0</v>
      </c>
      <c r="CQ13" s="126">
        <f t="shared" ref="CQ13:CQ26" si="103">HLOOKUP(CQ$6,Effort_Level,10,FALSE)*(AR13*$BJ13)</f>
        <v>0</v>
      </c>
      <c r="CR13" s="126">
        <f t="shared" ref="CR13:CR26" si="104">HLOOKUP(CR$6,Effort_Level,10,FALSE)*(AS13*$BJ13)</f>
        <v>0</v>
      </c>
      <c r="CS13" s="126">
        <f t="shared" ref="CS13:CS26" si="105">HLOOKUP(CS$6,Effort_Level,10,FALSE)*(AT13*$BJ13)</f>
        <v>0</v>
      </c>
      <c r="CT13" s="126">
        <f t="shared" ref="CT13:CT26" si="106">HLOOKUP(CT$6,Effort_Level,10,FALSE)*(AU13*$BJ13)</f>
        <v>0</v>
      </c>
      <c r="CU13" s="35">
        <f t="shared" ref="CU13:CU26" si="107">HLOOKUP(CU$6,Effort_Level,11,FALSE)*(AV13*$BJ13)</f>
        <v>0</v>
      </c>
      <c r="CV13" s="35">
        <f t="shared" ref="CV13:CV26" si="108">HLOOKUP(CV$6,Effort_Level,11,FALSE)*(AW13*$BJ13)</f>
        <v>0</v>
      </c>
      <c r="CW13" s="35">
        <f t="shared" ref="CW13:CW26" si="109">HLOOKUP(CW$6,Effort_Level,11,FALSE)*(AX13*$BJ13)</f>
        <v>0</v>
      </c>
      <c r="CX13" s="35">
        <f t="shared" ref="CX13:CX26" si="110">HLOOKUP(CX$6,Effort_Level,11,FALSE)*(AY13*$BJ13)</f>
        <v>0</v>
      </c>
      <c r="CY13" s="126">
        <f t="shared" ref="CY13:CY26" si="111">HLOOKUP(CY$6,Effort_Level,12,FALSE)*(AZ13*$BJ13)</f>
        <v>0</v>
      </c>
      <c r="CZ13" s="126">
        <f t="shared" ref="CZ13:CZ26" si="112">HLOOKUP(CZ$6,Effort_Level,12,FALSE)*(BA13*$BJ13)</f>
        <v>0</v>
      </c>
      <c r="DA13" s="126">
        <f t="shared" ref="DA13:DA26" si="113">HLOOKUP(DA$6,Effort_Level,12,FALSE)*(BB13*$BJ13)</f>
        <v>0</v>
      </c>
      <c r="DB13" s="126">
        <f t="shared" ref="DB13:DB26" si="114">HLOOKUP(DB$6,Effort_Level,12,FALSE)*(BC13*$BJ13)</f>
        <v>0</v>
      </c>
      <c r="DC13" s="35">
        <f t="shared" ref="DC13:DC26" si="115">HLOOKUP(DC$6,Effort_Level,13,FALSE)*(BD13*$BJ13)</f>
        <v>0</v>
      </c>
      <c r="DD13" s="35">
        <f t="shared" ref="DD13:DD26" si="116">HLOOKUP(DD$6,Effort_Level,13,FALSE)*(BE13*$BJ13)</f>
        <v>0</v>
      </c>
      <c r="DE13" s="35">
        <f t="shared" ref="DE13:DE26" si="117">HLOOKUP(DE$6,Effort_Level,13,FALSE)*(BF13*$BJ13)</f>
        <v>0</v>
      </c>
      <c r="DF13" s="35">
        <f t="shared" ref="DF13:DF26" si="118">HLOOKUP(DF$6,Effort_Level,13,FALSE)*(BG13*$BJ13)</f>
        <v>0</v>
      </c>
      <c r="DG13" s="5">
        <f t="shared" ref="DG13:DG26" si="119">SUM(BK13:DF13)</f>
        <v>0</v>
      </c>
    </row>
    <row r="14" spans="1:111" s="56" customFormat="1" ht="12.75" customHeight="1" x14ac:dyDescent="0.2">
      <c r="A14" s="449"/>
      <c r="B14" s="450"/>
      <c r="C14" s="450"/>
      <c r="D14" s="450"/>
      <c r="E14" s="450"/>
      <c r="F14" s="450"/>
      <c r="G14" s="450"/>
      <c r="H14" s="450"/>
      <c r="I14" s="450"/>
      <c r="J14" s="451"/>
      <c r="K14" s="136" t="s">
        <v>32</v>
      </c>
      <c r="L14" s="41"/>
      <c r="M14" s="41"/>
      <c r="N14" s="41"/>
      <c r="O14" s="41"/>
      <c r="P14" s="42"/>
      <c r="Q14" s="42"/>
      <c r="R14" s="42"/>
      <c r="S14" s="42"/>
      <c r="T14" s="41"/>
      <c r="U14" s="41"/>
      <c r="V14" s="41"/>
      <c r="W14" s="41"/>
      <c r="X14" s="42"/>
      <c r="Y14" s="42"/>
      <c r="Z14" s="42"/>
      <c r="AA14" s="42"/>
      <c r="AB14" s="41"/>
      <c r="AC14" s="41"/>
      <c r="AD14" s="41"/>
      <c r="AE14" s="41"/>
      <c r="AF14" s="42"/>
      <c r="AG14" s="42"/>
      <c r="AH14" s="42"/>
      <c r="AI14" s="42"/>
      <c r="AJ14" s="41"/>
      <c r="AK14" s="41"/>
      <c r="AL14" s="41"/>
      <c r="AM14" s="41"/>
      <c r="AN14" s="42"/>
      <c r="AO14" s="42"/>
      <c r="AP14" s="42"/>
      <c r="AQ14" s="42"/>
      <c r="AR14" s="41"/>
      <c r="AS14" s="41"/>
      <c r="AT14" s="41"/>
      <c r="AU14" s="41"/>
      <c r="AV14" s="42"/>
      <c r="AW14" s="42"/>
      <c r="AX14" s="42"/>
      <c r="AY14" s="42"/>
      <c r="AZ14" s="41"/>
      <c r="BA14" s="41"/>
      <c r="BB14" s="41"/>
      <c r="BC14" s="41"/>
      <c r="BD14" s="42"/>
      <c r="BE14" s="42"/>
      <c r="BF14" s="42"/>
      <c r="BG14" s="42"/>
      <c r="BH14" s="285">
        <f t="shared" ref="BH14" si="120">SUM(L14:BG14)</f>
        <v>0</v>
      </c>
      <c r="BI14" s="12"/>
      <c r="BJ14" s="38">
        <f>VLOOKUP(K14,[0]!Factor_Range,2,FALSE)</f>
        <v>1</v>
      </c>
      <c r="BK14" s="126">
        <f t="shared" ref="BK14" si="121">HLOOKUP(BK$6,Effort_Level,2,FALSE)*(L14*$BJ14)</f>
        <v>0</v>
      </c>
      <c r="BL14" s="126">
        <f t="shared" ref="BL14" si="122">HLOOKUP(BL$6,Effort_Level,2,FALSE)*(M14*$BJ14)</f>
        <v>0</v>
      </c>
      <c r="BM14" s="126">
        <f t="shared" ref="BM14" si="123">HLOOKUP(BM$6,Effort_Level,2,FALSE)*(N14*$BJ14)</f>
        <v>0</v>
      </c>
      <c r="BN14" s="126">
        <f t="shared" ref="BN14" si="124">HLOOKUP(BN$6,Effort_Level,2,FALSE)*(O14*$BJ14)</f>
        <v>0</v>
      </c>
      <c r="BO14" s="35">
        <f t="shared" ref="BO14" si="125">HLOOKUP(BO$6,Effort_Level,3,FALSE)*(P14*$BJ14)</f>
        <v>0</v>
      </c>
      <c r="BP14" s="35">
        <f t="shared" ref="BP14" si="126">HLOOKUP(BP$6,Effort_Level,3,FALSE)*(Q14*$BJ14)</f>
        <v>0</v>
      </c>
      <c r="BQ14" s="35">
        <f t="shared" ref="BQ14" si="127">HLOOKUP(BQ$6,Effort_Level,3,FALSE)*(R14*$BJ14)</f>
        <v>0</v>
      </c>
      <c r="BR14" s="35">
        <f t="shared" ref="BR14" si="128">HLOOKUP(BR$6,Effort_Level,3,FALSE)*(S14*$BJ14)</f>
        <v>0</v>
      </c>
      <c r="BS14" s="126">
        <f t="shared" ref="BS14" si="129">HLOOKUP(BS$6,Effort_Level,4,FALSE)*(T14*$BJ14)</f>
        <v>0</v>
      </c>
      <c r="BT14" s="126">
        <f t="shared" ref="BT14" si="130">HLOOKUP(BT$6,Effort_Level,4,FALSE)*(U14*$BJ14)</f>
        <v>0</v>
      </c>
      <c r="BU14" s="126">
        <f t="shared" ref="BU14" si="131">HLOOKUP(BU$6,Effort_Level,4,FALSE)*(V14*$BJ14)</f>
        <v>0</v>
      </c>
      <c r="BV14" s="126">
        <f t="shared" ref="BV14" si="132">HLOOKUP(BV$6,Effort_Level,4,FALSE)*(W14*$BJ14)</f>
        <v>0</v>
      </c>
      <c r="BW14" s="35">
        <f t="shared" ref="BW14" si="133">HLOOKUP(BW$6,Effort_Level,5,FALSE)*(X14*$BJ14)</f>
        <v>0</v>
      </c>
      <c r="BX14" s="35">
        <f t="shared" ref="BX14" si="134">HLOOKUP(BX$6,Effort_Level,5,FALSE)*(Y14*$BJ14)</f>
        <v>0</v>
      </c>
      <c r="BY14" s="35">
        <f t="shared" ref="BY14" si="135">HLOOKUP(BY$6,Effort_Level,5,FALSE)*(Z14*$BJ14)</f>
        <v>0</v>
      </c>
      <c r="BZ14" s="35">
        <f t="shared" ref="BZ14" si="136">HLOOKUP(BZ$6,Effort_Level,5,FALSE)*(AA14*$BJ14)</f>
        <v>0</v>
      </c>
      <c r="CA14" s="126">
        <f t="shared" ref="CA14" si="137">HLOOKUP(CA$6,Effort_Level,6,FALSE)*(AB14*$BJ14)</f>
        <v>0</v>
      </c>
      <c r="CB14" s="126">
        <f t="shared" ref="CB14" si="138">HLOOKUP(CB$6,Effort_Level,6,FALSE)*(AC14*$BJ14)</f>
        <v>0</v>
      </c>
      <c r="CC14" s="126">
        <f t="shared" ref="CC14" si="139">HLOOKUP(CC$6,Effort_Level,6,FALSE)*(AD14*$BJ14)</f>
        <v>0</v>
      </c>
      <c r="CD14" s="126">
        <f t="shared" ref="CD14" si="140">HLOOKUP(CD$6,Effort_Level,6,FALSE)*(AE14*$BJ14)</f>
        <v>0</v>
      </c>
      <c r="CE14" s="35">
        <f t="shared" ref="CE14" si="141">HLOOKUP(CE$6,Effort_Level,7,FALSE)*(AF14*$BJ14)</f>
        <v>0</v>
      </c>
      <c r="CF14" s="35">
        <f t="shared" ref="CF14" si="142">HLOOKUP(CF$6,Effort_Level,7,FALSE)*(AG14*$BJ14)</f>
        <v>0</v>
      </c>
      <c r="CG14" s="35">
        <f t="shared" ref="CG14" si="143">HLOOKUP(CG$6,Effort_Level,7,FALSE)*(AH14*$BJ14)</f>
        <v>0</v>
      </c>
      <c r="CH14" s="35">
        <f t="shared" ref="CH14" si="144">HLOOKUP(CH$6,Effort_Level,7,FALSE)*(AI14*$BJ14)</f>
        <v>0</v>
      </c>
      <c r="CI14" s="126">
        <f t="shared" si="6"/>
        <v>0</v>
      </c>
      <c r="CJ14" s="126">
        <f t="shared" si="7"/>
        <v>0</v>
      </c>
      <c r="CK14" s="126">
        <f t="shared" ref="CK14" si="145">HLOOKUP(CK$6,Effort_Level,8,FALSE)*(AL14*$BJ14)</f>
        <v>0</v>
      </c>
      <c r="CL14" s="126">
        <f t="shared" ref="CL14" si="146">HLOOKUP(CL$6,Effort_Level,8,FALSE)*(AM14*$BJ14)</f>
        <v>0</v>
      </c>
      <c r="CM14" s="35">
        <f t="shared" ref="CM14" si="147">HLOOKUP(CM$6,Effort_Level,9,FALSE)*(AN14*$BJ14)</f>
        <v>0</v>
      </c>
      <c r="CN14" s="35">
        <f t="shared" ref="CN14" si="148">HLOOKUP(CN$6,Effort_Level,9,FALSE)*(AO14*$BJ14)</f>
        <v>0</v>
      </c>
      <c r="CO14" s="35">
        <f t="shared" ref="CO14" si="149">HLOOKUP(CO$6,Effort_Level,9,FALSE)*(AP14*$BJ14)</f>
        <v>0</v>
      </c>
      <c r="CP14" s="35">
        <f t="shared" ref="CP14" si="150">HLOOKUP(CP$6,Effort_Level,9,FALSE)*(AQ14*$BJ14)</f>
        <v>0</v>
      </c>
      <c r="CQ14" s="126">
        <f t="shared" ref="CQ14" si="151">HLOOKUP(CQ$6,Effort_Level,10,FALSE)*(AR14*$BJ14)</f>
        <v>0</v>
      </c>
      <c r="CR14" s="126">
        <f t="shared" ref="CR14" si="152">HLOOKUP(CR$6,Effort_Level,10,FALSE)*(AS14*$BJ14)</f>
        <v>0</v>
      </c>
      <c r="CS14" s="126">
        <f t="shared" ref="CS14" si="153">HLOOKUP(CS$6,Effort_Level,10,FALSE)*(AT14*$BJ14)</f>
        <v>0</v>
      </c>
      <c r="CT14" s="126">
        <f t="shared" ref="CT14" si="154">HLOOKUP(CT$6,Effort_Level,10,FALSE)*(AU14*$BJ14)</f>
        <v>0</v>
      </c>
      <c r="CU14" s="35">
        <f t="shared" ref="CU14" si="155">HLOOKUP(CU$6,Effort_Level,11,FALSE)*(AV14*$BJ14)</f>
        <v>0</v>
      </c>
      <c r="CV14" s="35">
        <f t="shared" ref="CV14" si="156">HLOOKUP(CV$6,Effort_Level,11,FALSE)*(AW14*$BJ14)</f>
        <v>0</v>
      </c>
      <c r="CW14" s="35">
        <f t="shared" ref="CW14" si="157">HLOOKUP(CW$6,Effort_Level,11,FALSE)*(AX14*$BJ14)</f>
        <v>0</v>
      </c>
      <c r="CX14" s="35">
        <f t="shared" ref="CX14" si="158">HLOOKUP(CX$6,Effort_Level,11,FALSE)*(AY14*$BJ14)</f>
        <v>0</v>
      </c>
      <c r="CY14" s="126">
        <f t="shared" ref="CY14" si="159">HLOOKUP(CY$6,Effort_Level,12,FALSE)*(AZ14*$BJ14)</f>
        <v>0</v>
      </c>
      <c r="CZ14" s="126">
        <f t="shared" ref="CZ14" si="160">HLOOKUP(CZ$6,Effort_Level,12,FALSE)*(BA14*$BJ14)</f>
        <v>0</v>
      </c>
      <c r="DA14" s="126">
        <f t="shared" ref="DA14" si="161">HLOOKUP(DA$6,Effort_Level,12,FALSE)*(BB14*$BJ14)</f>
        <v>0</v>
      </c>
      <c r="DB14" s="126">
        <f t="shared" ref="DB14" si="162">HLOOKUP(DB$6,Effort_Level,12,FALSE)*(BC14*$BJ14)</f>
        <v>0</v>
      </c>
      <c r="DC14" s="35">
        <f t="shared" ref="DC14" si="163">HLOOKUP(DC$6,Effort_Level,13,FALSE)*(BD14*$BJ14)</f>
        <v>0</v>
      </c>
      <c r="DD14" s="35">
        <f t="shared" ref="DD14" si="164">HLOOKUP(DD$6,Effort_Level,13,FALSE)*(BE14*$BJ14)</f>
        <v>0</v>
      </c>
      <c r="DE14" s="35">
        <f t="shared" ref="DE14" si="165">HLOOKUP(DE$6,Effort_Level,13,FALSE)*(BF14*$BJ14)</f>
        <v>0</v>
      </c>
      <c r="DF14" s="35">
        <f t="shared" ref="DF14" si="166">HLOOKUP(DF$6,Effort_Level,13,FALSE)*(BG14*$BJ14)</f>
        <v>0</v>
      </c>
      <c r="DG14" s="5">
        <f t="shared" ref="DG14" si="167">SUM(BK14:DF14)</f>
        <v>0</v>
      </c>
    </row>
    <row r="15" spans="1:111" s="56" customFormat="1" ht="12.75" customHeight="1" x14ac:dyDescent="0.2">
      <c r="A15" s="449"/>
      <c r="B15" s="450"/>
      <c r="C15" s="450"/>
      <c r="D15" s="450"/>
      <c r="E15" s="450"/>
      <c r="F15" s="450"/>
      <c r="G15" s="450"/>
      <c r="H15" s="450"/>
      <c r="I15" s="450"/>
      <c r="J15" s="451"/>
      <c r="K15" s="136" t="s">
        <v>32</v>
      </c>
      <c r="L15" s="41"/>
      <c r="M15" s="41"/>
      <c r="N15" s="41"/>
      <c r="O15" s="41"/>
      <c r="P15" s="42"/>
      <c r="Q15" s="42"/>
      <c r="R15" s="42"/>
      <c r="S15" s="42"/>
      <c r="T15" s="41"/>
      <c r="U15" s="41"/>
      <c r="V15" s="41"/>
      <c r="W15" s="41"/>
      <c r="X15" s="42"/>
      <c r="Y15" s="42"/>
      <c r="Z15" s="42"/>
      <c r="AA15" s="42"/>
      <c r="AB15" s="41"/>
      <c r="AC15" s="41"/>
      <c r="AD15" s="41"/>
      <c r="AE15" s="41"/>
      <c r="AF15" s="42"/>
      <c r="AG15" s="42"/>
      <c r="AH15" s="42"/>
      <c r="AI15" s="42"/>
      <c r="AJ15" s="41"/>
      <c r="AK15" s="41"/>
      <c r="AL15" s="41"/>
      <c r="AM15" s="41"/>
      <c r="AN15" s="42"/>
      <c r="AO15" s="42"/>
      <c r="AP15" s="42"/>
      <c r="AQ15" s="42"/>
      <c r="AR15" s="41"/>
      <c r="AS15" s="41"/>
      <c r="AT15" s="41"/>
      <c r="AU15" s="41"/>
      <c r="AV15" s="42"/>
      <c r="AW15" s="42"/>
      <c r="AX15" s="42"/>
      <c r="AY15" s="42"/>
      <c r="AZ15" s="41"/>
      <c r="BA15" s="41"/>
      <c r="BB15" s="41"/>
      <c r="BC15" s="41"/>
      <c r="BD15" s="42"/>
      <c r="BE15" s="42"/>
      <c r="BF15" s="42"/>
      <c r="BG15" s="42"/>
      <c r="BH15" s="285">
        <f t="shared" si="72"/>
        <v>0</v>
      </c>
      <c r="BI15" s="12"/>
      <c r="BJ15" s="38">
        <f>VLOOKUP(K15,[0]!Factor_Range,2,FALSE)</f>
        <v>1</v>
      </c>
      <c r="BK15" s="126">
        <f t="shared" si="73"/>
        <v>0</v>
      </c>
      <c r="BL15" s="126">
        <f t="shared" si="74"/>
        <v>0</v>
      </c>
      <c r="BM15" s="126">
        <f t="shared" si="75"/>
        <v>0</v>
      </c>
      <c r="BN15" s="126">
        <f t="shared" si="76"/>
        <v>0</v>
      </c>
      <c r="BO15" s="35">
        <f t="shared" si="77"/>
        <v>0</v>
      </c>
      <c r="BP15" s="35">
        <f t="shared" si="78"/>
        <v>0</v>
      </c>
      <c r="BQ15" s="35">
        <f t="shared" si="79"/>
        <v>0</v>
      </c>
      <c r="BR15" s="35">
        <f t="shared" si="80"/>
        <v>0</v>
      </c>
      <c r="BS15" s="126">
        <f t="shared" si="81"/>
        <v>0</v>
      </c>
      <c r="BT15" s="126">
        <f t="shared" si="82"/>
        <v>0</v>
      </c>
      <c r="BU15" s="126">
        <f t="shared" si="83"/>
        <v>0</v>
      </c>
      <c r="BV15" s="126">
        <f t="shared" si="84"/>
        <v>0</v>
      </c>
      <c r="BW15" s="35">
        <f t="shared" si="85"/>
        <v>0</v>
      </c>
      <c r="BX15" s="35">
        <f t="shared" si="86"/>
        <v>0</v>
      </c>
      <c r="BY15" s="35">
        <f t="shared" si="87"/>
        <v>0</v>
      </c>
      <c r="BZ15" s="35">
        <f t="shared" si="88"/>
        <v>0</v>
      </c>
      <c r="CA15" s="126">
        <f t="shared" si="89"/>
        <v>0</v>
      </c>
      <c r="CB15" s="126">
        <f t="shared" si="90"/>
        <v>0</v>
      </c>
      <c r="CC15" s="126">
        <f t="shared" si="91"/>
        <v>0</v>
      </c>
      <c r="CD15" s="126">
        <f t="shared" si="92"/>
        <v>0</v>
      </c>
      <c r="CE15" s="35">
        <f t="shared" si="93"/>
        <v>0</v>
      </c>
      <c r="CF15" s="35">
        <f t="shared" si="94"/>
        <v>0</v>
      </c>
      <c r="CG15" s="35">
        <f t="shared" si="95"/>
        <v>0</v>
      </c>
      <c r="CH15" s="35">
        <f t="shared" si="96"/>
        <v>0</v>
      </c>
      <c r="CI15" s="126">
        <f t="shared" si="6"/>
        <v>0</v>
      </c>
      <c r="CJ15" s="126">
        <f t="shared" si="7"/>
        <v>0</v>
      </c>
      <c r="CK15" s="126">
        <f t="shared" si="97"/>
        <v>0</v>
      </c>
      <c r="CL15" s="126">
        <f t="shared" si="98"/>
        <v>0</v>
      </c>
      <c r="CM15" s="35">
        <f t="shared" si="99"/>
        <v>0</v>
      </c>
      <c r="CN15" s="35">
        <f t="shared" si="100"/>
        <v>0</v>
      </c>
      <c r="CO15" s="35">
        <f t="shared" si="101"/>
        <v>0</v>
      </c>
      <c r="CP15" s="35">
        <f t="shared" si="102"/>
        <v>0</v>
      </c>
      <c r="CQ15" s="126">
        <f t="shared" si="103"/>
        <v>0</v>
      </c>
      <c r="CR15" s="126">
        <f t="shared" si="104"/>
        <v>0</v>
      </c>
      <c r="CS15" s="126">
        <f t="shared" si="105"/>
        <v>0</v>
      </c>
      <c r="CT15" s="126">
        <f t="shared" si="106"/>
        <v>0</v>
      </c>
      <c r="CU15" s="35">
        <f t="shared" si="107"/>
        <v>0</v>
      </c>
      <c r="CV15" s="35">
        <f t="shared" si="108"/>
        <v>0</v>
      </c>
      <c r="CW15" s="35">
        <f t="shared" si="109"/>
        <v>0</v>
      </c>
      <c r="CX15" s="35">
        <f t="shared" si="110"/>
        <v>0</v>
      </c>
      <c r="CY15" s="126">
        <f t="shared" si="111"/>
        <v>0</v>
      </c>
      <c r="CZ15" s="126">
        <f t="shared" si="112"/>
        <v>0</v>
      </c>
      <c r="DA15" s="126">
        <f t="shared" si="113"/>
        <v>0</v>
      </c>
      <c r="DB15" s="126">
        <f t="shared" si="114"/>
        <v>0</v>
      </c>
      <c r="DC15" s="35">
        <f t="shared" si="115"/>
        <v>0</v>
      </c>
      <c r="DD15" s="35">
        <f t="shared" si="116"/>
        <v>0</v>
      </c>
      <c r="DE15" s="35">
        <f t="shared" si="117"/>
        <v>0</v>
      </c>
      <c r="DF15" s="35">
        <f t="shared" si="118"/>
        <v>0</v>
      </c>
      <c r="DG15" s="5">
        <f t="shared" si="119"/>
        <v>0</v>
      </c>
    </row>
    <row r="16" spans="1:111" s="56" customFormat="1" ht="12.75" customHeight="1" x14ac:dyDescent="0.2">
      <c r="A16" s="449"/>
      <c r="B16" s="450"/>
      <c r="C16" s="450"/>
      <c r="D16" s="450"/>
      <c r="E16" s="450"/>
      <c r="F16" s="450"/>
      <c r="G16" s="450"/>
      <c r="H16" s="450"/>
      <c r="I16" s="450"/>
      <c r="J16" s="451"/>
      <c r="K16" s="136" t="s">
        <v>32</v>
      </c>
      <c r="L16" s="41"/>
      <c r="M16" s="41"/>
      <c r="N16" s="41"/>
      <c r="O16" s="41"/>
      <c r="P16" s="42"/>
      <c r="Q16" s="42"/>
      <c r="R16" s="42"/>
      <c r="S16" s="42"/>
      <c r="T16" s="41"/>
      <c r="U16" s="41"/>
      <c r="V16" s="41"/>
      <c r="W16" s="41"/>
      <c r="X16" s="42"/>
      <c r="Y16" s="42"/>
      <c r="Z16" s="42"/>
      <c r="AA16" s="42"/>
      <c r="AB16" s="41"/>
      <c r="AC16" s="41"/>
      <c r="AD16" s="41"/>
      <c r="AE16" s="41"/>
      <c r="AF16" s="42"/>
      <c r="AG16" s="42"/>
      <c r="AH16" s="42"/>
      <c r="AI16" s="42"/>
      <c r="AJ16" s="41"/>
      <c r="AK16" s="41"/>
      <c r="AL16" s="41"/>
      <c r="AM16" s="41"/>
      <c r="AN16" s="42"/>
      <c r="AO16" s="42"/>
      <c r="AP16" s="42"/>
      <c r="AQ16" s="42"/>
      <c r="AR16" s="41"/>
      <c r="AS16" s="41"/>
      <c r="AT16" s="41"/>
      <c r="AU16" s="41"/>
      <c r="AV16" s="42"/>
      <c r="AW16" s="42"/>
      <c r="AX16" s="42"/>
      <c r="AY16" s="42"/>
      <c r="AZ16" s="41"/>
      <c r="BA16" s="41"/>
      <c r="BB16" s="41"/>
      <c r="BC16" s="41"/>
      <c r="BD16" s="42"/>
      <c r="BE16" s="42"/>
      <c r="BF16" s="42"/>
      <c r="BG16" s="42"/>
      <c r="BH16" s="285">
        <f t="shared" ref="BH16" si="168">SUM(L16:BG16)</f>
        <v>0</v>
      </c>
      <c r="BI16" s="12"/>
      <c r="BJ16" s="38">
        <f>VLOOKUP(K16,[0]!Factor_Range,2,FALSE)</f>
        <v>1</v>
      </c>
      <c r="BK16" s="126">
        <f t="shared" ref="BK16" si="169">HLOOKUP(BK$6,Effort_Level,2,FALSE)*(L16*$BJ16)</f>
        <v>0</v>
      </c>
      <c r="BL16" s="126">
        <f t="shared" ref="BL16" si="170">HLOOKUP(BL$6,Effort_Level,2,FALSE)*(M16*$BJ16)</f>
        <v>0</v>
      </c>
      <c r="BM16" s="126">
        <f t="shared" ref="BM16" si="171">HLOOKUP(BM$6,Effort_Level,2,FALSE)*(N16*$BJ16)</f>
        <v>0</v>
      </c>
      <c r="BN16" s="126">
        <f t="shared" ref="BN16" si="172">HLOOKUP(BN$6,Effort_Level,2,FALSE)*(O16*$BJ16)</f>
        <v>0</v>
      </c>
      <c r="BO16" s="35">
        <f t="shared" ref="BO16" si="173">HLOOKUP(BO$6,Effort_Level,3,FALSE)*(P16*$BJ16)</f>
        <v>0</v>
      </c>
      <c r="BP16" s="35">
        <f t="shared" ref="BP16" si="174">HLOOKUP(BP$6,Effort_Level,3,FALSE)*(Q16*$BJ16)</f>
        <v>0</v>
      </c>
      <c r="BQ16" s="35">
        <f t="shared" ref="BQ16" si="175">HLOOKUP(BQ$6,Effort_Level,3,FALSE)*(R16*$BJ16)</f>
        <v>0</v>
      </c>
      <c r="BR16" s="35">
        <f t="shared" ref="BR16" si="176">HLOOKUP(BR$6,Effort_Level,3,FALSE)*(S16*$BJ16)</f>
        <v>0</v>
      </c>
      <c r="BS16" s="126">
        <f t="shared" ref="BS16" si="177">HLOOKUP(BS$6,Effort_Level,4,FALSE)*(T16*$BJ16)</f>
        <v>0</v>
      </c>
      <c r="BT16" s="126">
        <f t="shared" ref="BT16" si="178">HLOOKUP(BT$6,Effort_Level,4,FALSE)*(U16*$BJ16)</f>
        <v>0</v>
      </c>
      <c r="BU16" s="126">
        <f t="shared" ref="BU16" si="179">HLOOKUP(BU$6,Effort_Level,4,FALSE)*(V16*$BJ16)</f>
        <v>0</v>
      </c>
      <c r="BV16" s="126">
        <f t="shared" ref="BV16" si="180">HLOOKUP(BV$6,Effort_Level,4,FALSE)*(W16*$BJ16)</f>
        <v>0</v>
      </c>
      <c r="BW16" s="35">
        <f t="shared" ref="BW16" si="181">HLOOKUP(BW$6,Effort_Level,5,FALSE)*(X16*$BJ16)</f>
        <v>0</v>
      </c>
      <c r="BX16" s="35">
        <f t="shared" ref="BX16" si="182">HLOOKUP(BX$6,Effort_Level,5,FALSE)*(Y16*$BJ16)</f>
        <v>0</v>
      </c>
      <c r="BY16" s="35">
        <f t="shared" ref="BY16" si="183">HLOOKUP(BY$6,Effort_Level,5,FALSE)*(Z16*$BJ16)</f>
        <v>0</v>
      </c>
      <c r="BZ16" s="35">
        <f t="shared" ref="BZ16" si="184">HLOOKUP(BZ$6,Effort_Level,5,FALSE)*(AA16*$BJ16)</f>
        <v>0</v>
      </c>
      <c r="CA16" s="126">
        <f t="shared" ref="CA16" si="185">HLOOKUP(CA$6,Effort_Level,6,FALSE)*(AB16*$BJ16)</f>
        <v>0</v>
      </c>
      <c r="CB16" s="126">
        <f t="shared" ref="CB16" si="186">HLOOKUP(CB$6,Effort_Level,6,FALSE)*(AC16*$BJ16)</f>
        <v>0</v>
      </c>
      <c r="CC16" s="126">
        <f t="shared" ref="CC16" si="187">HLOOKUP(CC$6,Effort_Level,6,FALSE)*(AD16*$BJ16)</f>
        <v>0</v>
      </c>
      <c r="CD16" s="126">
        <f t="shared" ref="CD16" si="188">HLOOKUP(CD$6,Effort_Level,6,FALSE)*(AE16*$BJ16)</f>
        <v>0</v>
      </c>
      <c r="CE16" s="35">
        <f t="shared" ref="CE16" si="189">HLOOKUP(CE$6,Effort_Level,7,FALSE)*(AF16*$BJ16)</f>
        <v>0</v>
      </c>
      <c r="CF16" s="35">
        <f t="shared" ref="CF16" si="190">HLOOKUP(CF$6,Effort_Level,7,FALSE)*(AG16*$BJ16)</f>
        <v>0</v>
      </c>
      <c r="CG16" s="35">
        <f t="shared" ref="CG16" si="191">HLOOKUP(CG$6,Effort_Level,7,FALSE)*(AH16*$BJ16)</f>
        <v>0</v>
      </c>
      <c r="CH16" s="35">
        <f t="shared" ref="CH16" si="192">HLOOKUP(CH$6,Effort_Level,7,FALSE)*(AI16*$BJ16)</f>
        <v>0</v>
      </c>
      <c r="CI16" s="126">
        <f t="shared" si="6"/>
        <v>0</v>
      </c>
      <c r="CJ16" s="126">
        <f t="shared" si="7"/>
        <v>0</v>
      </c>
      <c r="CK16" s="126">
        <f t="shared" ref="CK16" si="193">HLOOKUP(CK$6,Effort_Level,8,FALSE)*(AL16*$BJ16)</f>
        <v>0</v>
      </c>
      <c r="CL16" s="126">
        <f t="shared" ref="CL16" si="194">HLOOKUP(CL$6,Effort_Level,8,FALSE)*(AM16*$BJ16)</f>
        <v>0</v>
      </c>
      <c r="CM16" s="35">
        <f t="shared" ref="CM16" si="195">HLOOKUP(CM$6,Effort_Level,9,FALSE)*(AN16*$BJ16)</f>
        <v>0</v>
      </c>
      <c r="CN16" s="35">
        <f t="shared" ref="CN16" si="196">HLOOKUP(CN$6,Effort_Level,9,FALSE)*(AO16*$BJ16)</f>
        <v>0</v>
      </c>
      <c r="CO16" s="35">
        <f t="shared" ref="CO16" si="197">HLOOKUP(CO$6,Effort_Level,9,FALSE)*(AP16*$BJ16)</f>
        <v>0</v>
      </c>
      <c r="CP16" s="35">
        <f t="shared" ref="CP16" si="198">HLOOKUP(CP$6,Effort_Level,9,FALSE)*(AQ16*$BJ16)</f>
        <v>0</v>
      </c>
      <c r="CQ16" s="126">
        <f t="shared" ref="CQ16" si="199">HLOOKUP(CQ$6,Effort_Level,10,FALSE)*(AR16*$BJ16)</f>
        <v>0</v>
      </c>
      <c r="CR16" s="126">
        <f t="shared" ref="CR16" si="200">HLOOKUP(CR$6,Effort_Level,10,FALSE)*(AS16*$BJ16)</f>
        <v>0</v>
      </c>
      <c r="CS16" s="126">
        <f t="shared" ref="CS16" si="201">HLOOKUP(CS$6,Effort_Level,10,FALSE)*(AT16*$BJ16)</f>
        <v>0</v>
      </c>
      <c r="CT16" s="126">
        <f t="shared" ref="CT16" si="202">HLOOKUP(CT$6,Effort_Level,10,FALSE)*(AU16*$BJ16)</f>
        <v>0</v>
      </c>
      <c r="CU16" s="35">
        <f t="shared" ref="CU16" si="203">HLOOKUP(CU$6,Effort_Level,11,FALSE)*(AV16*$BJ16)</f>
        <v>0</v>
      </c>
      <c r="CV16" s="35">
        <f t="shared" ref="CV16" si="204">HLOOKUP(CV$6,Effort_Level,11,FALSE)*(AW16*$BJ16)</f>
        <v>0</v>
      </c>
      <c r="CW16" s="35">
        <f t="shared" ref="CW16" si="205">HLOOKUP(CW$6,Effort_Level,11,FALSE)*(AX16*$BJ16)</f>
        <v>0</v>
      </c>
      <c r="CX16" s="35">
        <f t="shared" ref="CX16" si="206">HLOOKUP(CX$6,Effort_Level,11,FALSE)*(AY16*$BJ16)</f>
        <v>0</v>
      </c>
      <c r="CY16" s="126">
        <f t="shared" ref="CY16" si="207">HLOOKUP(CY$6,Effort_Level,12,FALSE)*(AZ16*$BJ16)</f>
        <v>0</v>
      </c>
      <c r="CZ16" s="126">
        <f t="shared" ref="CZ16" si="208">HLOOKUP(CZ$6,Effort_Level,12,FALSE)*(BA16*$BJ16)</f>
        <v>0</v>
      </c>
      <c r="DA16" s="126">
        <f t="shared" ref="DA16" si="209">HLOOKUP(DA$6,Effort_Level,12,FALSE)*(BB16*$BJ16)</f>
        <v>0</v>
      </c>
      <c r="DB16" s="126">
        <f t="shared" ref="DB16" si="210">HLOOKUP(DB$6,Effort_Level,12,FALSE)*(BC16*$BJ16)</f>
        <v>0</v>
      </c>
      <c r="DC16" s="35">
        <f t="shared" ref="DC16" si="211">HLOOKUP(DC$6,Effort_Level,13,FALSE)*(BD16*$BJ16)</f>
        <v>0</v>
      </c>
      <c r="DD16" s="35">
        <f t="shared" ref="DD16" si="212">HLOOKUP(DD$6,Effort_Level,13,FALSE)*(BE16*$BJ16)</f>
        <v>0</v>
      </c>
      <c r="DE16" s="35">
        <f t="shared" ref="DE16" si="213">HLOOKUP(DE$6,Effort_Level,13,FALSE)*(BF16*$BJ16)</f>
        <v>0</v>
      </c>
      <c r="DF16" s="35">
        <f t="shared" ref="DF16" si="214">HLOOKUP(DF$6,Effort_Level,13,FALSE)*(BG16*$BJ16)</f>
        <v>0</v>
      </c>
      <c r="DG16" s="5">
        <f t="shared" ref="DG16" si="215">SUM(BK16:DF16)</f>
        <v>0</v>
      </c>
    </row>
    <row r="17" spans="1:111" s="56" customFormat="1" ht="12.75" customHeight="1" x14ac:dyDescent="0.2">
      <c r="A17" s="449"/>
      <c r="B17" s="450"/>
      <c r="C17" s="450"/>
      <c r="D17" s="450"/>
      <c r="E17" s="450"/>
      <c r="F17" s="450"/>
      <c r="G17" s="450"/>
      <c r="H17" s="450"/>
      <c r="I17" s="450"/>
      <c r="J17" s="451"/>
      <c r="K17" s="136" t="s">
        <v>33</v>
      </c>
      <c r="L17" s="41"/>
      <c r="M17" s="41"/>
      <c r="N17" s="41"/>
      <c r="O17" s="41"/>
      <c r="P17" s="42"/>
      <c r="Q17" s="42"/>
      <c r="R17" s="42"/>
      <c r="S17" s="42"/>
      <c r="T17" s="41"/>
      <c r="U17" s="41"/>
      <c r="V17" s="41"/>
      <c r="W17" s="41"/>
      <c r="X17" s="42"/>
      <c r="Y17" s="42"/>
      <c r="Z17" s="42"/>
      <c r="AA17" s="42"/>
      <c r="AB17" s="41"/>
      <c r="AC17" s="41"/>
      <c r="AD17" s="41"/>
      <c r="AE17" s="41"/>
      <c r="AF17" s="42"/>
      <c r="AG17" s="42"/>
      <c r="AH17" s="42"/>
      <c r="AI17" s="42"/>
      <c r="AJ17" s="41"/>
      <c r="AK17" s="41"/>
      <c r="AL17" s="41"/>
      <c r="AM17" s="41"/>
      <c r="AN17" s="42"/>
      <c r="AO17" s="42"/>
      <c r="AP17" s="42"/>
      <c r="AQ17" s="42"/>
      <c r="AR17" s="41"/>
      <c r="AS17" s="41"/>
      <c r="AT17" s="41"/>
      <c r="AU17" s="41"/>
      <c r="AV17" s="42"/>
      <c r="AW17" s="42"/>
      <c r="AX17" s="42"/>
      <c r="AY17" s="42"/>
      <c r="AZ17" s="41"/>
      <c r="BA17" s="41"/>
      <c r="BB17" s="41"/>
      <c r="BC17" s="41"/>
      <c r="BD17" s="42"/>
      <c r="BE17" s="42"/>
      <c r="BF17" s="42"/>
      <c r="BG17" s="42"/>
      <c r="BH17" s="285">
        <f t="shared" si="72"/>
        <v>0</v>
      </c>
      <c r="BI17" s="12"/>
      <c r="BJ17" s="38">
        <f>VLOOKUP(K17,[0]!Factor_Range,2,FALSE)</f>
        <v>0.66</v>
      </c>
      <c r="BK17" s="126">
        <f t="shared" si="73"/>
        <v>0</v>
      </c>
      <c r="BL17" s="126">
        <f t="shared" si="74"/>
        <v>0</v>
      </c>
      <c r="BM17" s="126">
        <f t="shared" si="75"/>
        <v>0</v>
      </c>
      <c r="BN17" s="126">
        <f t="shared" si="76"/>
        <v>0</v>
      </c>
      <c r="BO17" s="35">
        <f t="shared" si="77"/>
        <v>0</v>
      </c>
      <c r="BP17" s="35">
        <f t="shared" si="78"/>
        <v>0</v>
      </c>
      <c r="BQ17" s="35">
        <f t="shared" si="79"/>
        <v>0</v>
      </c>
      <c r="BR17" s="35">
        <f t="shared" si="80"/>
        <v>0</v>
      </c>
      <c r="BS17" s="126">
        <f t="shared" si="81"/>
        <v>0</v>
      </c>
      <c r="BT17" s="126">
        <f t="shared" si="82"/>
        <v>0</v>
      </c>
      <c r="BU17" s="126">
        <f t="shared" si="83"/>
        <v>0</v>
      </c>
      <c r="BV17" s="126">
        <f t="shared" si="84"/>
        <v>0</v>
      </c>
      <c r="BW17" s="35">
        <f t="shared" si="85"/>
        <v>0</v>
      </c>
      <c r="BX17" s="35">
        <f t="shared" si="86"/>
        <v>0</v>
      </c>
      <c r="BY17" s="35">
        <f t="shared" si="87"/>
        <v>0</v>
      </c>
      <c r="BZ17" s="35">
        <f t="shared" si="88"/>
        <v>0</v>
      </c>
      <c r="CA17" s="126">
        <f t="shared" si="89"/>
        <v>0</v>
      </c>
      <c r="CB17" s="126">
        <f t="shared" si="90"/>
        <v>0</v>
      </c>
      <c r="CC17" s="126">
        <f t="shared" si="91"/>
        <v>0</v>
      </c>
      <c r="CD17" s="126">
        <f t="shared" si="92"/>
        <v>0</v>
      </c>
      <c r="CE17" s="35">
        <f t="shared" si="93"/>
        <v>0</v>
      </c>
      <c r="CF17" s="35">
        <f t="shared" si="94"/>
        <v>0</v>
      </c>
      <c r="CG17" s="35">
        <f t="shared" si="95"/>
        <v>0</v>
      </c>
      <c r="CH17" s="35">
        <f t="shared" si="96"/>
        <v>0</v>
      </c>
      <c r="CI17" s="126">
        <f t="shared" si="6"/>
        <v>0</v>
      </c>
      <c r="CJ17" s="126">
        <f t="shared" si="7"/>
        <v>0</v>
      </c>
      <c r="CK17" s="126">
        <f t="shared" si="97"/>
        <v>0</v>
      </c>
      <c r="CL17" s="126">
        <f t="shared" si="98"/>
        <v>0</v>
      </c>
      <c r="CM17" s="35">
        <f t="shared" si="99"/>
        <v>0</v>
      </c>
      <c r="CN17" s="35">
        <f t="shared" si="100"/>
        <v>0</v>
      </c>
      <c r="CO17" s="35">
        <f t="shared" si="101"/>
        <v>0</v>
      </c>
      <c r="CP17" s="35">
        <f t="shared" si="102"/>
        <v>0</v>
      </c>
      <c r="CQ17" s="126">
        <f t="shared" si="103"/>
        <v>0</v>
      </c>
      <c r="CR17" s="126">
        <f t="shared" si="104"/>
        <v>0</v>
      </c>
      <c r="CS17" s="126">
        <f t="shared" si="105"/>
        <v>0</v>
      </c>
      <c r="CT17" s="126">
        <f t="shared" si="106"/>
        <v>0</v>
      </c>
      <c r="CU17" s="35">
        <f t="shared" si="107"/>
        <v>0</v>
      </c>
      <c r="CV17" s="35">
        <f t="shared" si="108"/>
        <v>0</v>
      </c>
      <c r="CW17" s="35">
        <f t="shared" si="109"/>
        <v>0</v>
      </c>
      <c r="CX17" s="35">
        <f t="shared" si="110"/>
        <v>0</v>
      </c>
      <c r="CY17" s="126">
        <f t="shared" si="111"/>
        <v>0</v>
      </c>
      <c r="CZ17" s="126">
        <f t="shared" si="112"/>
        <v>0</v>
      </c>
      <c r="DA17" s="126">
        <f t="shared" si="113"/>
        <v>0</v>
      </c>
      <c r="DB17" s="126">
        <f t="shared" si="114"/>
        <v>0</v>
      </c>
      <c r="DC17" s="35">
        <f t="shared" si="115"/>
        <v>0</v>
      </c>
      <c r="DD17" s="35">
        <f t="shared" si="116"/>
        <v>0</v>
      </c>
      <c r="DE17" s="35">
        <f t="shared" si="117"/>
        <v>0</v>
      </c>
      <c r="DF17" s="35">
        <f t="shared" si="118"/>
        <v>0</v>
      </c>
      <c r="DG17" s="5">
        <f t="shared" si="119"/>
        <v>0</v>
      </c>
    </row>
    <row r="18" spans="1:111" s="56" customFormat="1" ht="12.75" customHeight="1" x14ac:dyDescent="0.2">
      <c r="A18" s="449"/>
      <c r="B18" s="450"/>
      <c r="C18" s="450"/>
      <c r="D18" s="450"/>
      <c r="E18" s="450"/>
      <c r="F18" s="450"/>
      <c r="G18" s="450"/>
      <c r="H18" s="450"/>
      <c r="I18" s="450"/>
      <c r="J18" s="451"/>
      <c r="K18" s="136" t="s">
        <v>33</v>
      </c>
      <c r="L18" s="41"/>
      <c r="M18" s="41"/>
      <c r="N18" s="41"/>
      <c r="O18" s="41"/>
      <c r="P18" s="42"/>
      <c r="Q18" s="42"/>
      <c r="R18" s="42"/>
      <c r="S18" s="42"/>
      <c r="T18" s="41"/>
      <c r="U18" s="41"/>
      <c r="V18" s="41"/>
      <c r="W18" s="41"/>
      <c r="X18" s="42"/>
      <c r="Y18" s="42"/>
      <c r="Z18" s="42"/>
      <c r="AA18" s="42"/>
      <c r="AB18" s="41"/>
      <c r="AC18" s="41"/>
      <c r="AD18" s="41"/>
      <c r="AE18" s="41"/>
      <c r="AF18" s="42"/>
      <c r="AG18" s="42"/>
      <c r="AH18" s="42"/>
      <c r="AI18" s="42"/>
      <c r="AJ18" s="41"/>
      <c r="AK18" s="41"/>
      <c r="AL18" s="41"/>
      <c r="AM18" s="41"/>
      <c r="AN18" s="42"/>
      <c r="AO18" s="42"/>
      <c r="AP18" s="42"/>
      <c r="AQ18" s="42"/>
      <c r="AR18" s="41"/>
      <c r="AS18" s="41"/>
      <c r="AT18" s="41"/>
      <c r="AU18" s="41"/>
      <c r="AV18" s="42"/>
      <c r="AW18" s="42"/>
      <c r="AX18" s="42"/>
      <c r="AY18" s="42"/>
      <c r="AZ18" s="41"/>
      <c r="BA18" s="41"/>
      <c r="BB18" s="41"/>
      <c r="BC18" s="41"/>
      <c r="BD18" s="42"/>
      <c r="BE18" s="42"/>
      <c r="BF18" s="42"/>
      <c r="BG18" s="42"/>
      <c r="BH18" s="285">
        <f t="shared" ref="BH18" si="216">SUM(L18:BG18)</f>
        <v>0</v>
      </c>
      <c r="BI18" s="12"/>
      <c r="BJ18" s="38">
        <f>VLOOKUP(K18,[0]!Factor_Range,2,FALSE)</f>
        <v>0.66</v>
      </c>
      <c r="BK18" s="126">
        <f t="shared" ref="BK18" si="217">HLOOKUP(BK$6,Effort_Level,2,FALSE)*(L18*$BJ18)</f>
        <v>0</v>
      </c>
      <c r="BL18" s="126">
        <f t="shared" ref="BL18" si="218">HLOOKUP(BL$6,Effort_Level,2,FALSE)*(M18*$BJ18)</f>
        <v>0</v>
      </c>
      <c r="BM18" s="126">
        <f t="shared" ref="BM18" si="219">HLOOKUP(BM$6,Effort_Level,2,FALSE)*(N18*$BJ18)</f>
        <v>0</v>
      </c>
      <c r="BN18" s="126">
        <f t="shared" ref="BN18" si="220">HLOOKUP(BN$6,Effort_Level,2,FALSE)*(O18*$BJ18)</f>
        <v>0</v>
      </c>
      <c r="BO18" s="35">
        <f t="shared" ref="BO18" si="221">HLOOKUP(BO$6,Effort_Level,3,FALSE)*(P18*$BJ18)</f>
        <v>0</v>
      </c>
      <c r="BP18" s="35">
        <f t="shared" ref="BP18" si="222">HLOOKUP(BP$6,Effort_Level,3,FALSE)*(Q18*$BJ18)</f>
        <v>0</v>
      </c>
      <c r="BQ18" s="35">
        <f t="shared" ref="BQ18" si="223">HLOOKUP(BQ$6,Effort_Level,3,FALSE)*(R18*$BJ18)</f>
        <v>0</v>
      </c>
      <c r="BR18" s="35">
        <f t="shared" ref="BR18" si="224">HLOOKUP(BR$6,Effort_Level,3,FALSE)*(S18*$BJ18)</f>
        <v>0</v>
      </c>
      <c r="BS18" s="126">
        <f t="shared" ref="BS18" si="225">HLOOKUP(BS$6,Effort_Level,4,FALSE)*(T18*$BJ18)</f>
        <v>0</v>
      </c>
      <c r="BT18" s="126">
        <f t="shared" ref="BT18" si="226">HLOOKUP(BT$6,Effort_Level,4,FALSE)*(U18*$BJ18)</f>
        <v>0</v>
      </c>
      <c r="BU18" s="126">
        <f t="shared" ref="BU18" si="227">HLOOKUP(BU$6,Effort_Level,4,FALSE)*(V18*$BJ18)</f>
        <v>0</v>
      </c>
      <c r="BV18" s="126">
        <f t="shared" ref="BV18" si="228">HLOOKUP(BV$6,Effort_Level,4,FALSE)*(W18*$BJ18)</f>
        <v>0</v>
      </c>
      <c r="BW18" s="35">
        <f t="shared" ref="BW18" si="229">HLOOKUP(BW$6,Effort_Level,5,FALSE)*(X18*$BJ18)</f>
        <v>0</v>
      </c>
      <c r="BX18" s="35">
        <f t="shared" ref="BX18" si="230">HLOOKUP(BX$6,Effort_Level,5,FALSE)*(Y18*$BJ18)</f>
        <v>0</v>
      </c>
      <c r="BY18" s="35">
        <f t="shared" ref="BY18" si="231">HLOOKUP(BY$6,Effort_Level,5,FALSE)*(Z18*$BJ18)</f>
        <v>0</v>
      </c>
      <c r="BZ18" s="35">
        <f t="shared" ref="BZ18" si="232">HLOOKUP(BZ$6,Effort_Level,5,FALSE)*(AA18*$BJ18)</f>
        <v>0</v>
      </c>
      <c r="CA18" s="126">
        <f t="shared" ref="CA18" si="233">HLOOKUP(CA$6,Effort_Level,6,FALSE)*(AB18*$BJ18)</f>
        <v>0</v>
      </c>
      <c r="CB18" s="126">
        <f t="shared" ref="CB18" si="234">HLOOKUP(CB$6,Effort_Level,6,FALSE)*(AC18*$BJ18)</f>
        <v>0</v>
      </c>
      <c r="CC18" s="126">
        <f t="shared" ref="CC18" si="235">HLOOKUP(CC$6,Effort_Level,6,FALSE)*(AD18*$BJ18)</f>
        <v>0</v>
      </c>
      <c r="CD18" s="126">
        <f t="shared" ref="CD18" si="236">HLOOKUP(CD$6,Effort_Level,6,FALSE)*(AE18*$BJ18)</f>
        <v>0</v>
      </c>
      <c r="CE18" s="35">
        <f t="shared" ref="CE18" si="237">HLOOKUP(CE$6,Effort_Level,7,FALSE)*(AF18*$BJ18)</f>
        <v>0</v>
      </c>
      <c r="CF18" s="35">
        <f t="shared" ref="CF18" si="238">HLOOKUP(CF$6,Effort_Level,7,FALSE)*(AG18*$BJ18)</f>
        <v>0</v>
      </c>
      <c r="CG18" s="35">
        <f t="shared" ref="CG18" si="239">HLOOKUP(CG$6,Effort_Level,7,FALSE)*(AH18*$BJ18)</f>
        <v>0</v>
      </c>
      <c r="CH18" s="35">
        <f t="shared" ref="CH18" si="240">HLOOKUP(CH$6,Effort_Level,7,FALSE)*(AI18*$BJ18)</f>
        <v>0</v>
      </c>
      <c r="CI18" s="126">
        <f t="shared" si="6"/>
        <v>0</v>
      </c>
      <c r="CJ18" s="126">
        <f t="shared" si="7"/>
        <v>0</v>
      </c>
      <c r="CK18" s="126">
        <f t="shared" ref="CK18" si="241">HLOOKUP(CK$6,Effort_Level,8,FALSE)*(AL18*$BJ18)</f>
        <v>0</v>
      </c>
      <c r="CL18" s="126">
        <f t="shared" ref="CL18" si="242">HLOOKUP(CL$6,Effort_Level,8,FALSE)*(AM18*$BJ18)</f>
        <v>0</v>
      </c>
      <c r="CM18" s="35">
        <f t="shared" ref="CM18" si="243">HLOOKUP(CM$6,Effort_Level,9,FALSE)*(AN18*$BJ18)</f>
        <v>0</v>
      </c>
      <c r="CN18" s="35">
        <f t="shared" ref="CN18" si="244">HLOOKUP(CN$6,Effort_Level,9,FALSE)*(AO18*$BJ18)</f>
        <v>0</v>
      </c>
      <c r="CO18" s="35">
        <f t="shared" ref="CO18" si="245">HLOOKUP(CO$6,Effort_Level,9,FALSE)*(AP18*$BJ18)</f>
        <v>0</v>
      </c>
      <c r="CP18" s="35">
        <f t="shared" ref="CP18" si="246">HLOOKUP(CP$6,Effort_Level,9,FALSE)*(AQ18*$BJ18)</f>
        <v>0</v>
      </c>
      <c r="CQ18" s="126">
        <f t="shared" ref="CQ18" si="247">HLOOKUP(CQ$6,Effort_Level,10,FALSE)*(AR18*$BJ18)</f>
        <v>0</v>
      </c>
      <c r="CR18" s="126">
        <f t="shared" ref="CR18" si="248">HLOOKUP(CR$6,Effort_Level,10,FALSE)*(AS18*$BJ18)</f>
        <v>0</v>
      </c>
      <c r="CS18" s="126">
        <f t="shared" ref="CS18" si="249">HLOOKUP(CS$6,Effort_Level,10,FALSE)*(AT18*$BJ18)</f>
        <v>0</v>
      </c>
      <c r="CT18" s="126">
        <f t="shared" ref="CT18" si="250">HLOOKUP(CT$6,Effort_Level,10,FALSE)*(AU18*$BJ18)</f>
        <v>0</v>
      </c>
      <c r="CU18" s="35">
        <f t="shared" ref="CU18" si="251">HLOOKUP(CU$6,Effort_Level,11,FALSE)*(AV18*$BJ18)</f>
        <v>0</v>
      </c>
      <c r="CV18" s="35">
        <f t="shared" ref="CV18" si="252">HLOOKUP(CV$6,Effort_Level,11,FALSE)*(AW18*$BJ18)</f>
        <v>0</v>
      </c>
      <c r="CW18" s="35">
        <f t="shared" ref="CW18" si="253">HLOOKUP(CW$6,Effort_Level,11,FALSE)*(AX18*$BJ18)</f>
        <v>0</v>
      </c>
      <c r="CX18" s="35">
        <f t="shared" ref="CX18" si="254">HLOOKUP(CX$6,Effort_Level,11,FALSE)*(AY18*$BJ18)</f>
        <v>0</v>
      </c>
      <c r="CY18" s="126">
        <f t="shared" ref="CY18" si="255">HLOOKUP(CY$6,Effort_Level,12,FALSE)*(AZ18*$BJ18)</f>
        <v>0</v>
      </c>
      <c r="CZ18" s="126">
        <f t="shared" ref="CZ18" si="256">HLOOKUP(CZ$6,Effort_Level,12,FALSE)*(BA18*$BJ18)</f>
        <v>0</v>
      </c>
      <c r="DA18" s="126">
        <f t="shared" ref="DA18" si="257">HLOOKUP(DA$6,Effort_Level,12,FALSE)*(BB18*$BJ18)</f>
        <v>0</v>
      </c>
      <c r="DB18" s="126">
        <f t="shared" ref="DB18" si="258">HLOOKUP(DB$6,Effort_Level,12,FALSE)*(BC18*$BJ18)</f>
        <v>0</v>
      </c>
      <c r="DC18" s="35">
        <f t="shared" ref="DC18" si="259">HLOOKUP(DC$6,Effort_Level,13,FALSE)*(BD18*$BJ18)</f>
        <v>0</v>
      </c>
      <c r="DD18" s="35">
        <f t="shared" ref="DD18" si="260">HLOOKUP(DD$6,Effort_Level,13,FALSE)*(BE18*$BJ18)</f>
        <v>0</v>
      </c>
      <c r="DE18" s="35">
        <f t="shared" ref="DE18" si="261">HLOOKUP(DE$6,Effort_Level,13,FALSE)*(BF18*$BJ18)</f>
        <v>0</v>
      </c>
      <c r="DF18" s="35">
        <f t="shared" ref="DF18" si="262">HLOOKUP(DF$6,Effort_Level,13,FALSE)*(BG18*$BJ18)</f>
        <v>0</v>
      </c>
      <c r="DG18" s="5">
        <f t="shared" ref="DG18" si="263">SUM(BK18:DF18)</f>
        <v>0</v>
      </c>
    </row>
    <row r="19" spans="1:111" s="56" customFormat="1" ht="12.75" customHeight="1" x14ac:dyDescent="0.2">
      <c r="A19" s="449"/>
      <c r="B19" s="450"/>
      <c r="C19" s="450"/>
      <c r="D19" s="450"/>
      <c r="E19" s="450"/>
      <c r="F19" s="450"/>
      <c r="G19" s="450"/>
      <c r="H19" s="450"/>
      <c r="I19" s="450"/>
      <c r="J19" s="451"/>
      <c r="K19" s="136" t="s">
        <v>33</v>
      </c>
      <c r="L19" s="41"/>
      <c r="M19" s="41"/>
      <c r="N19" s="41"/>
      <c r="O19" s="41"/>
      <c r="P19" s="42"/>
      <c r="Q19" s="42"/>
      <c r="R19" s="42"/>
      <c r="S19" s="42"/>
      <c r="T19" s="41"/>
      <c r="U19" s="41"/>
      <c r="V19" s="41"/>
      <c r="W19" s="41"/>
      <c r="X19" s="42"/>
      <c r="Y19" s="42"/>
      <c r="Z19" s="42"/>
      <c r="AA19" s="42"/>
      <c r="AB19" s="41"/>
      <c r="AC19" s="41"/>
      <c r="AD19" s="41"/>
      <c r="AE19" s="41"/>
      <c r="AF19" s="42"/>
      <c r="AG19" s="42"/>
      <c r="AH19" s="42"/>
      <c r="AI19" s="42"/>
      <c r="AJ19" s="41"/>
      <c r="AK19" s="41"/>
      <c r="AL19" s="41"/>
      <c r="AM19" s="41"/>
      <c r="AN19" s="42"/>
      <c r="AO19" s="42"/>
      <c r="AP19" s="42"/>
      <c r="AQ19" s="42"/>
      <c r="AR19" s="41"/>
      <c r="AS19" s="41"/>
      <c r="AT19" s="41"/>
      <c r="AU19" s="41"/>
      <c r="AV19" s="42"/>
      <c r="AW19" s="42"/>
      <c r="AX19" s="42"/>
      <c r="AY19" s="42"/>
      <c r="AZ19" s="41"/>
      <c r="BA19" s="41"/>
      <c r="BB19" s="41"/>
      <c r="BC19" s="41"/>
      <c r="BD19" s="42"/>
      <c r="BE19" s="42"/>
      <c r="BF19" s="42"/>
      <c r="BG19" s="42"/>
      <c r="BH19" s="285">
        <f t="shared" si="72"/>
        <v>0</v>
      </c>
      <c r="BI19" s="12"/>
      <c r="BJ19" s="38">
        <f>VLOOKUP(K19,[0]!Factor_Range,2,FALSE)</f>
        <v>0.66</v>
      </c>
      <c r="BK19" s="126">
        <f t="shared" si="73"/>
        <v>0</v>
      </c>
      <c r="BL19" s="126">
        <f t="shared" si="74"/>
        <v>0</v>
      </c>
      <c r="BM19" s="126">
        <f t="shared" si="75"/>
        <v>0</v>
      </c>
      <c r="BN19" s="126">
        <f t="shared" si="76"/>
        <v>0</v>
      </c>
      <c r="BO19" s="35">
        <f t="shared" si="77"/>
        <v>0</v>
      </c>
      <c r="BP19" s="35">
        <f t="shared" si="78"/>
        <v>0</v>
      </c>
      <c r="BQ19" s="35">
        <f t="shared" si="79"/>
        <v>0</v>
      </c>
      <c r="BR19" s="35">
        <f t="shared" si="80"/>
        <v>0</v>
      </c>
      <c r="BS19" s="126">
        <f t="shared" si="81"/>
        <v>0</v>
      </c>
      <c r="BT19" s="126">
        <f t="shared" si="82"/>
        <v>0</v>
      </c>
      <c r="BU19" s="126">
        <f t="shared" si="83"/>
        <v>0</v>
      </c>
      <c r="BV19" s="126">
        <f t="shared" si="84"/>
        <v>0</v>
      </c>
      <c r="BW19" s="35">
        <f t="shared" si="85"/>
        <v>0</v>
      </c>
      <c r="BX19" s="35">
        <f t="shared" si="86"/>
        <v>0</v>
      </c>
      <c r="BY19" s="35">
        <f t="shared" si="87"/>
        <v>0</v>
      </c>
      <c r="BZ19" s="35">
        <f t="shared" si="88"/>
        <v>0</v>
      </c>
      <c r="CA19" s="126">
        <f t="shared" si="89"/>
        <v>0</v>
      </c>
      <c r="CB19" s="126">
        <f t="shared" si="90"/>
        <v>0</v>
      </c>
      <c r="CC19" s="126">
        <f t="shared" si="91"/>
        <v>0</v>
      </c>
      <c r="CD19" s="126">
        <f t="shared" si="92"/>
        <v>0</v>
      </c>
      <c r="CE19" s="35">
        <f t="shared" si="93"/>
        <v>0</v>
      </c>
      <c r="CF19" s="35">
        <f t="shared" si="94"/>
        <v>0</v>
      </c>
      <c r="CG19" s="35">
        <f t="shared" si="95"/>
        <v>0</v>
      </c>
      <c r="CH19" s="35">
        <f t="shared" si="96"/>
        <v>0</v>
      </c>
      <c r="CI19" s="126">
        <f t="shared" si="6"/>
        <v>0</v>
      </c>
      <c r="CJ19" s="126">
        <f t="shared" si="7"/>
        <v>0</v>
      </c>
      <c r="CK19" s="126">
        <f t="shared" si="97"/>
        <v>0</v>
      </c>
      <c r="CL19" s="126">
        <f t="shared" si="98"/>
        <v>0</v>
      </c>
      <c r="CM19" s="35">
        <f t="shared" si="99"/>
        <v>0</v>
      </c>
      <c r="CN19" s="35">
        <f t="shared" si="100"/>
        <v>0</v>
      </c>
      <c r="CO19" s="35">
        <f t="shared" si="101"/>
        <v>0</v>
      </c>
      <c r="CP19" s="35">
        <f t="shared" si="102"/>
        <v>0</v>
      </c>
      <c r="CQ19" s="126">
        <f t="shared" si="103"/>
        <v>0</v>
      </c>
      <c r="CR19" s="126">
        <f t="shared" si="104"/>
        <v>0</v>
      </c>
      <c r="CS19" s="126">
        <f t="shared" si="105"/>
        <v>0</v>
      </c>
      <c r="CT19" s="126">
        <f t="shared" si="106"/>
        <v>0</v>
      </c>
      <c r="CU19" s="35">
        <f t="shared" si="107"/>
        <v>0</v>
      </c>
      <c r="CV19" s="35">
        <f t="shared" si="108"/>
        <v>0</v>
      </c>
      <c r="CW19" s="35">
        <f t="shared" si="109"/>
        <v>0</v>
      </c>
      <c r="CX19" s="35">
        <f t="shared" si="110"/>
        <v>0</v>
      </c>
      <c r="CY19" s="126">
        <f t="shared" si="111"/>
        <v>0</v>
      </c>
      <c r="CZ19" s="126">
        <f t="shared" si="112"/>
        <v>0</v>
      </c>
      <c r="DA19" s="126">
        <f t="shared" si="113"/>
        <v>0</v>
      </c>
      <c r="DB19" s="126">
        <f t="shared" si="114"/>
        <v>0</v>
      </c>
      <c r="DC19" s="35">
        <f t="shared" si="115"/>
        <v>0</v>
      </c>
      <c r="DD19" s="35">
        <f t="shared" si="116"/>
        <v>0</v>
      </c>
      <c r="DE19" s="35">
        <f t="shared" si="117"/>
        <v>0</v>
      </c>
      <c r="DF19" s="35">
        <f t="shared" si="118"/>
        <v>0</v>
      </c>
      <c r="DG19" s="5">
        <f t="shared" si="119"/>
        <v>0</v>
      </c>
    </row>
    <row r="20" spans="1:111" s="56" customFormat="1" ht="12.75" customHeight="1" x14ac:dyDescent="0.2">
      <c r="A20" s="449"/>
      <c r="B20" s="450"/>
      <c r="C20" s="450"/>
      <c r="D20" s="450"/>
      <c r="E20" s="450"/>
      <c r="F20" s="450"/>
      <c r="G20" s="450"/>
      <c r="H20" s="450"/>
      <c r="I20" s="450"/>
      <c r="J20" s="451"/>
      <c r="K20" s="136" t="s">
        <v>33</v>
      </c>
      <c r="L20" s="41"/>
      <c r="M20" s="41"/>
      <c r="N20" s="41"/>
      <c r="O20" s="41"/>
      <c r="P20" s="42"/>
      <c r="Q20" s="42"/>
      <c r="R20" s="42"/>
      <c r="S20" s="42"/>
      <c r="T20" s="41"/>
      <c r="U20" s="41"/>
      <c r="V20" s="41"/>
      <c r="W20" s="41"/>
      <c r="X20" s="42"/>
      <c r="Y20" s="42"/>
      <c r="Z20" s="42"/>
      <c r="AA20" s="42"/>
      <c r="AB20" s="41"/>
      <c r="AC20" s="41"/>
      <c r="AD20" s="41"/>
      <c r="AE20" s="41"/>
      <c r="AF20" s="42"/>
      <c r="AG20" s="42"/>
      <c r="AH20" s="42"/>
      <c r="AI20" s="42"/>
      <c r="AJ20" s="41"/>
      <c r="AK20" s="41"/>
      <c r="AL20" s="41"/>
      <c r="AM20" s="41"/>
      <c r="AN20" s="42"/>
      <c r="AO20" s="42"/>
      <c r="AP20" s="42"/>
      <c r="AQ20" s="42"/>
      <c r="AR20" s="41"/>
      <c r="AS20" s="41"/>
      <c r="AT20" s="41"/>
      <c r="AU20" s="41"/>
      <c r="AV20" s="42"/>
      <c r="AW20" s="42"/>
      <c r="AX20" s="42"/>
      <c r="AY20" s="42"/>
      <c r="AZ20" s="41"/>
      <c r="BA20" s="41"/>
      <c r="BB20" s="41"/>
      <c r="BC20" s="41"/>
      <c r="BD20" s="42"/>
      <c r="BE20" s="42"/>
      <c r="BF20" s="42"/>
      <c r="BG20" s="42"/>
      <c r="BH20" s="285">
        <f t="shared" si="72"/>
        <v>0</v>
      </c>
      <c r="BI20" s="12"/>
      <c r="BJ20" s="38">
        <f>VLOOKUP(K20,[0]!Factor_Range,2,FALSE)</f>
        <v>0.66</v>
      </c>
      <c r="BK20" s="126">
        <f t="shared" si="73"/>
        <v>0</v>
      </c>
      <c r="BL20" s="126">
        <f t="shared" si="74"/>
        <v>0</v>
      </c>
      <c r="BM20" s="126">
        <f t="shared" si="75"/>
        <v>0</v>
      </c>
      <c r="BN20" s="126">
        <f t="shared" si="76"/>
        <v>0</v>
      </c>
      <c r="BO20" s="35">
        <f t="shared" si="77"/>
        <v>0</v>
      </c>
      <c r="BP20" s="35">
        <f t="shared" si="78"/>
        <v>0</v>
      </c>
      <c r="BQ20" s="35">
        <f t="shared" si="79"/>
        <v>0</v>
      </c>
      <c r="BR20" s="35">
        <f t="shared" si="80"/>
        <v>0</v>
      </c>
      <c r="BS20" s="126">
        <f t="shared" si="81"/>
        <v>0</v>
      </c>
      <c r="BT20" s="126">
        <f t="shared" si="82"/>
        <v>0</v>
      </c>
      <c r="BU20" s="126">
        <f t="shared" si="83"/>
        <v>0</v>
      </c>
      <c r="BV20" s="126">
        <f t="shared" si="84"/>
        <v>0</v>
      </c>
      <c r="BW20" s="35">
        <f t="shared" si="85"/>
        <v>0</v>
      </c>
      <c r="BX20" s="35">
        <f t="shared" si="86"/>
        <v>0</v>
      </c>
      <c r="BY20" s="35">
        <f t="shared" si="87"/>
        <v>0</v>
      </c>
      <c r="BZ20" s="35">
        <f t="shared" si="88"/>
        <v>0</v>
      </c>
      <c r="CA20" s="126">
        <f t="shared" si="89"/>
        <v>0</v>
      </c>
      <c r="CB20" s="126">
        <f t="shared" si="90"/>
        <v>0</v>
      </c>
      <c r="CC20" s="126">
        <f t="shared" si="91"/>
        <v>0</v>
      </c>
      <c r="CD20" s="126">
        <f t="shared" si="92"/>
        <v>0</v>
      </c>
      <c r="CE20" s="35">
        <f t="shared" si="93"/>
        <v>0</v>
      </c>
      <c r="CF20" s="35">
        <f t="shared" si="94"/>
        <v>0</v>
      </c>
      <c r="CG20" s="35">
        <f t="shared" si="95"/>
        <v>0</v>
      </c>
      <c r="CH20" s="35">
        <f t="shared" si="96"/>
        <v>0</v>
      </c>
      <c r="CI20" s="126">
        <f t="shared" si="6"/>
        <v>0</v>
      </c>
      <c r="CJ20" s="126">
        <f t="shared" si="7"/>
        <v>0</v>
      </c>
      <c r="CK20" s="126">
        <f t="shared" si="97"/>
        <v>0</v>
      </c>
      <c r="CL20" s="126">
        <f t="shared" si="98"/>
        <v>0</v>
      </c>
      <c r="CM20" s="35">
        <f t="shared" si="99"/>
        <v>0</v>
      </c>
      <c r="CN20" s="35">
        <f t="shared" si="100"/>
        <v>0</v>
      </c>
      <c r="CO20" s="35">
        <f t="shared" si="101"/>
        <v>0</v>
      </c>
      <c r="CP20" s="35">
        <f t="shared" si="102"/>
        <v>0</v>
      </c>
      <c r="CQ20" s="126">
        <f t="shared" si="103"/>
        <v>0</v>
      </c>
      <c r="CR20" s="126">
        <f t="shared" si="104"/>
        <v>0</v>
      </c>
      <c r="CS20" s="126">
        <f t="shared" si="105"/>
        <v>0</v>
      </c>
      <c r="CT20" s="126">
        <f t="shared" si="106"/>
        <v>0</v>
      </c>
      <c r="CU20" s="35">
        <f t="shared" si="107"/>
        <v>0</v>
      </c>
      <c r="CV20" s="35">
        <f t="shared" si="108"/>
        <v>0</v>
      </c>
      <c r="CW20" s="35">
        <f t="shared" si="109"/>
        <v>0</v>
      </c>
      <c r="CX20" s="35">
        <f t="shared" si="110"/>
        <v>0</v>
      </c>
      <c r="CY20" s="126">
        <f t="shared" si="111"/>
        <v>0</v>
      </c>
      <c r="CZ20" s="126">
        <f t="shared" si="112"/>
        <v>0</v>
      </c>
      <c r="DA20" s="126">
        <f t="shared" si="113"/>
        <v>0</v>
      </c>
      <c r="DB20" s="126">
        <f t="shared" si="114"/>
        <v>0</v>
      </c>
      <c r="DC20" s="35">
        <f t="shared" si="115"/>
        <v>0</v>
      </c>
      <c r="DD20" s="35">
        <f t="shared" si="116"/>
        <v>0</v>
      </c>
      <c r="DE20" s="35">
        <f t="shared" si="117"/>
        <v>0</v>
      </c>
      <c r="DF20" s="35">
        <f t="shared" si="118"/>
        <v>0</v>
      </c>
      <c r="DG20" s="5">
        <f t="shared" si="119"/>
        <v>0</v>
      </c>
    </row>
    <row r="21" spans="1:111" s="56" customFormat="1" ht="12.75" customHeight="1" x14ac:dyDescent="0.2">
      <c r="A21" s="449"/>
      <c r="B21" s="450"/>
      <c r="C21" s="450"/>
      <c r="D21" s="450"/>
      <c r="E21" s="450"/>
      <c r="F21" s="450"/>
      <c r="G21" s="450"/>
      <c r="H21" s="450"/>
      <c r="I21" s="450"/>
      <c r="J21" s="451"/>
      <c r="K21" s="136" t="s">
        <v>32</v>
      </c>
      <c r="L21" s="41"/>
      <c r="M21" s="41"/>
      <c r="N21" s="41"/>
      <c r="O21" s="41"/>
      <c r="P21" s="42"/>
      <c r="Q21" s="42"/>
      <c r="R21" s="42"/>
      <c r="S21" s="42"/>
      <c r="T21" s="41"/>
      <c r="U21" s="41"/>
      <c r="V21" s="41"/>
      <c r="W21" s="41"/>
      <c r="X21" s="42"/>
      <c r="Y21" s="42"/>
      <c r="Z21" s="42"/>
      <c r="AA21" s="42"/>
      <c r="AB21" s="41"/>
      <c r="AC21" s="41"/>
      <c r="AD21" s="41"/>
      <c r="AE21" s="41"/>
      <c r="AF21" s="42"/>
      <c r="AG21" s="42"/>
      <c r="AH21" s="42"/>
      <c r="AI21" s="42"/>
      <c r="AJ21" s="41"/>
      <c r="AK21" s="41"/>
      <c r="AL21" s="41"/>
      <c r="AM21" s="41"/>
      <c r="AN21" s="42"/>
      <c r="AO21" s="42"/>
      <c r="AP21" s="42"/>
      <c r="AQ21" s="42"/>
      <c r="AR21" s="41"/>
      <c r="AS21" s="41"/>
      <c r="AT21" s="41"/>
      <c r="AU21" s="41"/>
      <c r="AV21" s="42"/>
      <c r="AW21" s="42"/>
      <c r="AX21" s="42"/>
      <c r="AY21" s="42"/>
      <c r="AZ21" s="41"/>
      <c r="BA21" s="41"/>
      <c r="BB21" s="41"/>
      <c r="BC21" s="41"/>
      <c r="BD21" s="42"/>
      <c r="BE21" s="42"/>
      <c r="BF21" s="42"/>
      <c r="BG21" s="42"/>
      <c r="BH21" s="285">
        <f t="shared" ref="BH21" si="264">SUM(L21:BG21)</f>
        <v>0</v>
      </c>
      <c r="BI21" s="12"/>
      <c r="BJ21" s="38">
        <f>VLOOKUP(K21,[0]!Factor_Range,2,FALSE)</f>
        <v>1</v>
      </c>
      <c r="BK21" s="126">
        <f t="shared" ref="BK21" si="265">HLOOKUP(BK$6,Effort_Level,2,FALSE)*(L21*$BJ21)</f>
        <v>0</v>
      </c>
      <c r="BL21" s="126">
        <f t="shared" ref="BL21" si="266">HLOOKUP(BL$6,Effort_Level,2,FALSE)*(M21*$BJ21)</f>
        <v>0</v>
      </c>
      <c r="BM21" s="126">
        <f t="shared" ref="BM21" si="267">HLOOKUP(BM$6,Effort_Level,2,FALSE)*(N21*$BJ21)</f>
        <v>0</v>
      </c>
      <c r="BN21" s="126">
        <f t="shared" ref="BN21" si="268">HLOOKUP(BN$6,Effort_Level,2,FALSE)*(O21*$BJ21)</f>
        <v>0</v>
      </c>
      <c r="BO21" s="35">
        <f t="shared" ref="BO21" si="269">HLOOKUP(BO$6,Effort_Level,3,FALSE)*(P21*$BJ21)</f>
        <v>0</v>
      </c>
      <c r="BP21" s="35">
        <f t="shared" ref="BP21" si="270">HLOOKUP(BP$6,Effort_Level,3,FALSE)*(Q21*$BJ21)</f>
        <v>0</v>
      </c>
      <c r="BQ21" s="35">
        <f t="shared" ref="BQ21" si="271">HLOOKUP(BQ$6,Effort_Level,3,FALSE)*(R21*$BJ21)</f>
        <v>0</v>
      </c>
      <c r="BR21" s="35">
        <f t="shared" ref="BR21" si="272">HLOOKUP(BR$6,Effort_Level,3,FALSE)*(S21*$BJ21)</f>
        <v>0</v>
      </c>
      <c r="BS21" s="126">
        <f t="shared" ref="BS21" si="273">HLOOKUP(BS$6,Effort_Level,4,FALSE)*(T21*$BJ21)</f>
        <v>0</v>
      </c>
      <c r="BT21" s="126">
        <f t="shared" ref="BT21" si="274">HLOOKUP(BT$6,Effort_Level,4,FALSE)*(U21*$BJ21)</f>
        <v>0</v>
      </c>
      <c r="BU21" s="126">
        <f t="shared" ref="BU21" si="275">HLOOKUP(BU$6,Effort_Level,4,FALSE)*(V21*$BJ21)</f>
        <v>0</v>
      </c>
      <c r="BV21" s="126">
        <f t="shared" ref="BV21" si="276">HLOOKUP(BV$6,Effort_Level,4,FALSE)*(W21*$BJ21)</f>
        <v>0</v>
      </c>
      <c r="BW21" s="35">
        <f t="shared" ref="BW21" si="277">HLOOKUP(BW$6,Effort_Level,5,FALSE)*(X21*$BJ21)</f>
        <v>0</v>
      </c>
      <c r="BX21" s="35">
        <f t="shared" ref="BX21" si="278">HLOOKUP(BX$6,Effort_Level,5,FALSE)*(Y21*$BJ21)</f>
        <v>0</v>
      </c>
      <c r="BY21" s="35">
        <f t="shared" ref="BY21" si="279">HLOOKUP(BY$6,Effort_Level,5,FALSE)*(Z21*$BJ21)</f>
        <v>0</v>
      </c>
      <c r="BZ21" s="35">
        <f t="shared" ref="BZ21" si="280">HLOOKUP(BZ$6,Effort_Level,5,FALSE)*(AA21*$BJ21)</f>
        <v>0</v>
      </c>
      <c r="CA21" s="126">
        <f t="shared" ref="CA21" si="281">HLOOKUP(CA$6,Effort_Level,6,FALSE)*(AB21*$BJ21)</f>
        <v>0</v>
      </c>
      <c r="CB21" s="126">
        <f t="shared" ref="CB21" si="282">HLOOKUP(CB$6,Effort_Level,6,FALSE)*(AC21*$BJ21)</f>
        <v>0</v>
      </c>
      <c r="CC21" s="126">
        <f t="shared" ref="CC21" si="283">HLOOKUP(CC$6,Effort_Level,6,FALSE)*(AD21*$BJ21)</f>
        <v>0</v>
      </c>
      <c r="CD21" s="126">
        <f t="shared" ref="CD21" si="284">HLOOKUP(CD$6,Effort_Level,6,FALSE)*(AE21*$BJ21)</f>
        <v>0</v>
      </c>
      <c r="CE21" s="35">
        <f t="shared" ref="CE21" si="285">HLOOKUP(CE$6,Effort_Level,7,FALSE)*(AF21*$BJ21)</f>
        <v>0</v>
      </c>
      <c r="CF21" s="35">
        <f t="shared" ref="CF21" si="286">HLOOKUP(CF$6,Effort_Level,7,FALSE)*(AG21*$BJ21)</f>
        <v>0</v>
      </c>
      <c r="CG21" s="35">
        <f t="shared" ref="CG21" si="287">HLOOKUP(CG$6,Effort_Level,7,FALSE)*(AH21*$BJ21)</f>
        <v>0</v>
      </c>
      <c r="CH21" s="35">
        <f t="shared" ref="CH21" si="288">HLOOKUP(CH$6,Effort_Level,7,FALSE)*(AI21*$BJ21)</f>
        <v>0</v>
      </c>
      <c r="CI21" s="126">
        <f t="shared" si="6"/>
        <v>0</v>
      </c>
      <c r="CJ21" s="126">
        <f t="shared" si="7"/>
        <v>0</v>
      </c>
      <c r="CK21" s="126">
        <f t="shared" ref="CK21" si="289">HLOOKUP(CK$6,Effort_Level,8,FALSE)*(AL21*$BJ21)</f>
        <v>0</v>
      </c>
      <c r="CL21" s="126">
        <f t="shared" ref="CL21" si="290">HLOOKUP(CL$6,Effort_Level,8,FALSE)*(AM21*$BJ21)</f>
        <v>0</v>
      </c>
      <c r="CM21" s="35">
        <f t="shared" ref="CM21" si="291">HLOOKUP(CM$6,Effort_Level,9,FALSE)*(AN21*$BJ21)</f>
        <v>0</v>
      </c>
      <c r="CN21" s="35">
        <f t="shared" ref="CN21" si="292">HLOOKUP(CN$6,Effort_Level,9,FALSE)*(AO21*$BJ21)</f>
        <v>0</v>
      </c>
      <c r="CO21" s="35">
        <f t="shared" ref="CO21" si="293">HLOOKUP(CO$6,Effort_Level,9,FALSE)*(AP21*$BJ21)</f>
        <v>0</v>
      </c>
      <c r="CP21" s="35">
        <f t="shared" ref="CP21" si="294">HLOOKUP(CP$6,Effort_Level,9,FALSE)*(AQ21*$BJ21)</f>
        <v>0</v>
      </c>
      <c r="CQ21" s="126">
        <f t="shared" ref="CQ21" si="295">HLOOKUP(CQ$6,Effort_Level,10,FALSE)*(AR21*$BJ21)</f>
        <v>0</v>
      </c>
      <c r="CR21" s="126">
        <f t="shared" ref="CR21" si="296">HLOOKUP(CR$6,Effort_Level,10,FALSE)*(AS21*$BJ21)</f>
        <v>0</v>
      </c>
      <c r="CS21" s="126">
        <f t="shared" ref="CS21" si="297">HLOOKUP(CS$6,Effort_Level,10,FALSE)*(AT21*$BJ21)</f>
        <v>0</v>
      </c>
      <c r="CT21" s="126">
        <f t="shared" ref="CT21" si="298">HLOOKUP(CT$6,Effort_Level,10,FALSE)*(AU21*$BJ21)</f>
        <v>0</v>
      </c>
      <c r="CU21" s="35">
        <f t="shared" ref="CU21" si="299">HLOOKUP(CU$6,Effort_Level,11,FALSE)*(AV21*$BJ21)</f>
        <v>0</v>
      </c>
      <c r="CV21" s="35">
        <f t="shared" ref="CV21" si="300">HLOOKUP(CV$6,Effort_Level,11,FALSE)*(AW21*$BJ21)</f>
        <v>0</v>
      </c>
      <c r="CW21" s="35">
        <f t="shared" ref="CW21" si="301">HLOOKUP(CW$6,Effort_Level,11,FALSE)*(AX21*$BJ21)</f>
        <v>0</v>
      </c>
      <c r="CX21" s="35">
        <f t="shared" ref="CX21" si="302">HLOOKUP(CX$6,Effort_Level,11,FALSE)*(AY21*$BJ21)</f>
        <v>0</v>
      </c>
      <c r="CY21" s="126">
        <f t="shared" ref="CY21" si="303">HLOOKUP(CY$6,Effort_Level,12,FALSE)*(AZ21*$BJ21)</f>
        <v>0</v>
      </c>
      <c r="CZ21" s="126">
        <f t="shared" ref="CZ21" si="304">HLOOKUP(CZ$6,Effort_Level,12,FALSE)*(BA21*$BJ21)</f>
        <v>0</v>
      </c>
      <c r="DA21" s="126">
        <f t="shared" ref="DA21" si="305">HLOOKUP(DA$6,Effort_Level,12,FALSE)*(BB21*$BJ21)</f>
        <v>0</v>
      </c>
      <c r="DB21" s="126">
        <f t="shared" ref="DB21" si="306">HLOOKUP(DB$6,Effort_Level,12,FALSE)*(BC21*$BJ21)</f>
        <v>0</v>
      </c>
      <c r="DC21" s="35">
        <f t="shared" ref="DC21" si="307">HLOOKUP(DC$6,Effort_Level,13,FALSE)*(BD21*$BJ21)</f>
        <v>0</v>
      </c>
      <c r="DD21" s="35">
        <f t="shared" ref="DD21" si="308">HLOOKUP(DD$6,Effort_Level,13,FALSE)*(BE21*$BJ21)</f>
        <v>0</v>
      </c>
      <c r="DE21" s="35">
        <f t="shared" ref="DE21" si="309">HLOOKUP(DE$6,Effort_Level,13,FALSE)*(BF21*$BJ21)</f>
        <v>0</v>
      </c>
      <c r="DF21" s="35">
        <f t="shared" ref="DF21" si="310">HLOOKUP(DF$6,Effort_Level,13,FALSE)*(BG21*$BJ21)</f>
        <v>0</v>
      </c>
      <c r="DG21" s="5">
        <f t="shared" ref="DG21" si="311">SUM(BK21:DF21)</f>
        <v>0</v>
      </c>
    </row>
    <row r="22" spans="1:111" s="56" customFormat="1" ht="12.75" customHeight="1" x14ac:dyDescent="0.2">
      <c r="A22" s="449"/>
      <c r="B22" s="450"/>
      <c r="C22" s="450"/>
      <c r="D22" s="450"/>
      <c r="E22" s="450"/>
      <c r="F22" s="450"/>
      <c r="G22" s="450"/>
      <c r="H22" s="450"/>
      <c r="I22" s="450"/>
      <c r="J22" s="451"/>
      <c r="K22" s="136" t="s">
        <v>32</v>
      </c>
      <c r="L22" s="41"/>
      <c r="M22" s="41"/>
      <c r="N22" s="41"/>
      <c r="O22" s="41"/>
      <c r="P22" s="42"/>
      <c r="Q22" s="42"/>
      <c r="R22" s="42"/>
      <c r="S22" s="42"/>
      <c r="T22" s="41"/>
      <c r="U22" s="41"/>
      <c r="V22" s="41"/>
      <c r="W22" s="41"/>
      <c r="X22" s="42"/>
      <c r="Y22" s="42"/>
      <c r="Z22" s="42"/>
      <c r="AA22" s="42"/>
      <c r="AB22" s="41"/>
      <c r="AC22" s="41"/>
      <c r="AD22" s="41"/>
      <c r="AE22" s="41"/>
      <c r="AF22" s="42"/>
      <c r="AG22" s="42"/>
      <c r="AH22" s="42"/>
      <c r="AI22" s="42"/>
      <c r="AJ22" s="41"/>
      <c r="AK22" s="41"/>
      <c r="AL22" s="41"/>
      <c r="AM22" s="41"/>
      <c r="AN22" s="42"/>
      <c r="AO22" s="42"/>
      <c r="AP22" s="42"/>
      <c r="AQ22" s="42"/>
      <c r="AR22" s="41"/>
      <c r="AS22" s="41"/>
      <c r="AT22" s="41"/>
      <c r="AU22" s="41"/>
      <c r="AV22" s="42"/>
      <c r="AW22" s="42"/>
      <c r="AX22" s="42"/>
      <c r="AY22" s="42"/>
      <c r="AZ22" s="41"/>
      <c r="BA22" s="41"/>
      <c r="BB22" s="41"/>
      <c r="BC22" s="41"/>
      <c r="BD22" s="42"/>
      <c r="BE22" s="42"/>
      <c r="BF22" s="42"/>
      <c r="BG22" s="42"/>
      <c r="BH22" s="285"/>
      <c r="BI22" s="12"/>
      <c r="BJ22" s="38"/>
      <c r="BK22" s="126"/>
      <c r="BL22" s="126"/>
      <c r="BM22" s="126"/>
      <c r="BN22" s="126"/>
      <c r="BO22" s="35"/>
      <c r="BP22" s="35"/>
      <c r="BQ22" s="35"/>
      <c r="BR22" s="35"/>
      <c r="BS22" s="126"/>
      <c r="BT22" s="126"/>
      <c r="BU22" s="126"/>
      <c r="BV22" s="126"/>
      <c r="BW22" s="35"/>
      <c r="BX22" s="35"/>
      <c r="BY22" s="35"/>
      <c r="BZ22" s="35"/>
      <c r="CA22" s="126"/>
      <c r="CB22" s="126"/>
      <c r="CC22" s="126"/>
      <c r="CD22" s="126"/>
      <c r="CE22" s="35"/>
      <c r="CF22" s="35"/>
      <c r="CG22" s="35"/>
      <c r="CH22" s="35"/>
      <c r="CI22" s="126"/>
      <c r="CJ22" s="126"/>
      <c r="CK22" s="126"/>
      <c r="CL22" s="126"/>
      <c r="CM22" s="35"/>
      <c r="CN22" s="35"/>
      <c r="CO22" s="35"/>
      <c r="CP22" s="35"/>
      <c r="CQ22" s="126"/>
      <c r="CR22" s="126"/>
      <c r="CS22" s="126"/>
      <c r="CT22" s="126"/>
      <c r="CU22" s="35"/>
      <c r="CV22" s="35"/>
      <c r="CW22" s="35"/>
      <c r="CX22" s="35"/>
      <c r="CY22" s="126"/>
      <c r="CZ22" s="126"/>
      <c r="DA22" s="126"/>
      <c r="DB22" s="126"/>
      <c r="DC22" s="35"/>
      <c r="DD22" s="35"/>
      <c r="DE22" s="35"/>
      <c r="DF22" s="35"/>
      <c r="DG22" s="5"/>
    </row>
    <row r="23" spans="1:111" s="56" customFormat="1" ht="12.75" customHeight="1" x14ac:dyDescent="0.2">
      <c r="A23" s="449"/>
      <c r="B23" s="450"/>
      <c r="C23" s="450"/>
      <c r="D23" s="450"/>
      <c r="E23" s="450"/>
      <c r="F23" s="450"/>
      <c r="G23" s="450"/>
      <c r="H23" s="450"/>
      <c r="I23" s="450"/>
      <c r="J23" s="451"/>
      <c r="K23" s="136" t="s">
        <v>32</v>
      </c>
      <c r="L23" s="41"/>
      <c r="M23" s="41"/>
      <c r="N23" s="41"/>
      <c r="O23" s="41"/>
      <c r="P23" s="42"/>
      <c r="Q23" s="42"/>
      <c r="R23" s="42"/>
      <c r="S23" s="42"/>
      <c r="T23" s="41"/>
      <c r="U23" s="41"/>
      <c r="V23" s="41"/>
      <c r="W23" s="41"/>
      <c r="X23" s="42"/>
      <c r="Y23" s="42"/>
      <c r="Z23" s="42"/>
      <c r="AA23" s="42"/>
      <c r="AB23" s="41"/>
      <c r="AC23" s="41"/>
      <c r="AD23" s="41"/>
      <c r="AE23" s="41"/>
      <c r="AF23" s="42"/>
      <c r="AG23" s="42"/>
      <c r="AH23" s="42"/>
      <c r="AI23" s="42"/>
      <c r="AJ23" s="41"/>
      <c r="AK23" s="41"/>
      <c r="AL23" s="41"/>
      <c r="AM23" s="41"/>
      <c r="AN23" s="42"/>
      <c r="AO23" s="42"/>
      <c r="AP23" s="42"/>
      <c r="AQ23" s="42"/>
      <c r="AR23" s="41"/>
      <c r="AS23" s="41"/>
      <c r="AT23" s="41"/>
      <c r="AU23" s="41"/>
      <c r="AV23" s="42"/>
      <c r="AW23" s="42"/>
      <c r="AX23" s="42"/>
      <c r="AY23" s="42"/>
      <c r="AZ23" s="41"/>
      <c r="BA23" s="41"/>
      <c r="BB23" s="41"/>
      <c r="BC23" s="41"/>
      <c r="BD23" s="42"/>
      <c r="BE23" s="42"/>
      <c r="BF23" s="42"/>
      <c r="BG23" s="42"/>
      <c r="BH23" s="285"/>
      <c r="BI23" s="12"/>
      <c r="BJ23" s="38"/>
      <c r="BK23" s="126"/>
      <c r="BL23" s="126"/>
      <c r="BM23" s="126"/>
      <c r="BN23" s="126"/>
      <c r="BO23" s="35"/>
      <c r="BP23" s="35"/>
      <c r="BQ23" s="35"/>
      <c r="BR23" s="35"/>
      <c r="BS23" s="126"/>
      <c r="BT23" s="126"/>
      <c r="BU23" s="126"/>
      <c r="BV23" s="126"/>
      <c r="BW23" s="35"/>
      <c r="BX23" s="35"/>
      <c r="BY23" s="35"/>
      <c r="BZ23" s="35"/>
      <c r="CA23" s="126"/>
      <c r="CB23" s="126"/>
      <c r="CC23" s="126"/>
      <c r="CD23" s="126"/>
      <c r="CE23" s="35"/>
      <c r="CF23" s="35"/>
      <c r="CG23" s="35"/>
      <c r="CH23" s="35"/>
      <c r="CI23" s="126"/>
      <c r="CJ23" s="126"/>
      <c r="CK23" s="126"/>
      <c r="CL23" s="126"/>
      <c r="CM23" s="35"/>
      <c r="CN23" s="35"/>
      <c r="CO23" s="35"/>
      <c r="CP23" s="35"/>
      <c r="CQ23" s="126"/>
      <c r="CR23" s="126"/>
      <c r="CS23" s="126"/>
      <c r="CT23" s="126"/>
      <c r="CU23" s="35"/>
      <c r="CV23" s="35"/>
      <c r="CW23" s="35"/>
      <c r="CX23" s="35"/>
      <c r="CY23" s="126"/>
      <c r="CZ23" s="126"/>
      <c r="DA23" s="126"/>
      <c r="DB23" s="126"/>
      <c r="DC23" s="35"/>
      <c r="DD23" s="35"/>
      <c r="DE23" s="35"/>
      <c r="DF23" s="35"/>
      <c r="DG23" s="5"/>
    </row>
    <row r="24" spans="1:111" s="56" customFormat="1" ht="12.75" customHeight="1" x14ac:dyDescent="0.2">
      <c r="A24" s="449"/>
      <c r="B24" s="450"/>
      <c r="C24" s="450"/>
      <c r="D24" s="450"/>
      <c r="E24" s="450"/>
      <c r="F24" s="450"/>
      <c r="G24" s="450"/>
      <c r="H24" s="450"/>
      <c r="I24" s="450"/>
      <c r="J24" s="451"/>
      <c r="K24" s="136" t="s">
        <v>33</v>
      </c>
      <c r="L24" s="41"/>
      <c r="M24" s="41"/>
      <c r="N24" s="41"/>
      <c r="O24" s="41"/>
      <c r="P24" s="42"/>
      <c r="Q24" s="42"/>
      <c r="R24" s="42"/>
      <c r="S24" s="42"/>
      <c r="T24" s="41"/>
      <c r="U24" s="41"/>
      <c r="V24" s="41"/>
      <c r="W24" s="41"/>
      <c r="X24" s="42"/>
      <c r="Y24" s="42"/>
      <c r="Z24" s="42"/>
      <c r="AA24" s="42"/>
      <c r="AB24" s="41"/>
      <c r="AC24" s="41"/>
      <c r="AD24" s="41"/>
      <c r="AE24" s="41"/>
      <c r="AF24" s="42"/>
      <c r="AG24" s="42"/>
      <c r="AH24" s="42"/>
      <c r="AI24" s="42"/>
      <c r="AJ24" s="41"/>
      <c r="AK24" s="41"/>
      <c r="AL24" s="41"/>
      <c r="AM24" s="41"/>
      <c r="AN24" s="42"/>
      <c r="AO24" s="42"/>
      <c r="AP24" s="42"/>
      <c r="AQ24" s="42"/>
      <c r="AR24" s="41"/>
      <c r="AS24" s="41"/>
      <c r="AT24" s="41"/>
      <c r="AU24" s="41"/>
      <c r="AV24" s="42"/>
      <c r="AW24" s="42"/>
      <c r="AX24" s="42"/>
      <c r="AY24" s="42"/>
      <c r="AZ24" s="41"/>
      <c r="BA24" s="41"/>
      <c r="BB24" s="41"/>
      <c r="BC24" s="41"/>
      <c r="BD24" s="42"/>
      <c r="BE24" s="42"/>
      <c r="BF24" s="42"/>
      <c r="BG24" s="42"/>
      <c r="BH24" s="285">
        <f t="shared" si="72"/>
        <v>0</v>
      </c>
      <c r="BI24" s="12"/>
      <c r="BJ24" s="38">
        <f>VLOOKUP(K24,[0]!Factor_Range,2,FALSE)</f>
        <v>0.66</v>
      </c>
      <c r="BK24" s="126">
        <f t="shared" si="73"/>
        <v>0</v>
      </c>
      <c r="BL24" s="126">
        <f t="shared" si="74"/>
        <v>0</v>
      </c>
      <c r="BM24" s="126">
        <f t="shared" si="75"/>
        <v>0</v>
      </c>
      <c r="BN24" s="126">
        <f t="shared" si="76"/>
        <v>0</v>
      </c>
      <c r="BO24" s="35">
        <f t="shared" si="77"/>
        <v>0</v>
      </c>
      <c r="BP24" s="35">
        <f t="shared" si="78"/>
        <v>0</v>
      </c>
      <c r="BQ24" s="35">
        <f t="shared" si="79"/>
        <v>0</v>
      </c>
      <c r="BR24" s="35">
        <f t="shared" si="80"/>
        <v>0</v>
      </c>
      <c r="BS24" s="126">
        <f t="shared" si="81"/>
        <v>0</v>
      </c>
      <c r="BT24" s="126">
        <f t="shared" si="82"/>
        <v>0</v>
      </c>
      <c r="BU24" s="126">
        <f t="shared" si="83"/>
        <v>0</v>
      </c>
      <c r="BV24" s="126">
        <f t="shared" si="84"/>
        <v>0</v>
      </c>
      <c r="BW24" s="35">
        <f t="shared" si="85"/>
        <v>0</v>
      </c>
      <c r="BX24" s="35">
        <f t="shared" si="86"/>
        <v>0</v>
      </c>
      <c r="BY24" s="35">
        <f t="shared" si="87"/>
        <v>0</v>
      </c>
      <c r="BZ24" s="35">
        <f t="shared" si="88"/>
        <v>0</v>
      </c>
      <c r="CA24" s="126">
        <f t="shared" si="89"/>
        <v>0</v>
      </c>
      <c r="CB24" s="126">
        <f t="shared" si="90"/>
        <v>0</v>
      </c>
      <c r="CC24" s="126">
        <f t="shared" si="91"/>
        <v>0</v>
      </c>
      <c r="CD24" s="126">
        <f t="shared" si="92"/>
        <v>0</v>
      </c>
      <c r="CE24" s="35">
        <f t="shared" si="93"/>
        <v>0</v>
      </c>
      <c r="CF24" s="35">
        <f t="shared" si="94"/>
        <v>0</v>
      </c>
      <c r="CG24" s="35">
        <f t="shared" si="95"/>
        <v>0</v>
      </c>
      <c r="CH24" s="35">
        <f t="shared" si="96"/>
        <v>0</v>
      </c>
      <c r="CI24" s="126">
        <f t="shared" ref="CI24:CJ26" si="312">HLOOKUP(CI$6,Effort_Level,8,FALSE)*(AJ24*$BJ24)</f>
        <v>0</v>
      </c>
      <c r="CJ24" s="126">
        <f t="shared" si="312"/>
        <v>0</v>
      </c>
      <c r="CK24" s="126">
        <f t="shared" si="97"/>
        <v>0</v>
      </c>
      <c r="CL24" s="126">
        <f t="shared" si="98"/>
        <v>0</v>
      </c>
      <c r="CM24" s="35">
        <f t="shared" si="99"/>
        <v>0</v>
      </c>
      <c r="CN24" s="35">
        <f t="shared" si="100"/>
        <v>0</v>
      </c>
      <c r="CO24" s="35">
        <f t="shared" si="101"/>
        <v>0</v>
      </c>
      <c r="CP24" s="35">
        <f t="shared" si="102"/>
        <v>0</v>
      </c>
      <c r="CQ24" s="126">
        <f t="shared" si="103"/>
        <v>0</v>
      </c>
      <c r="CR24" s="126">
        <f t="shared" si="104"/>
        <v>0</v>
      </c>
      <c r="CS24" s="126">
        <f t="shared" si="105"/>
        <v>0</v>
      </c>
      <c r="CT24" s="126">
        <f t="shared" si="106"/>
        <v>0</v>
      </c>
      <c r="CU24" s="35">
        <f t="shared" si="107"/>
        <v>0</v>
      </c>
      <c r="CV24" s="35">
        <f t="shared" si="108"/>
        <v>0</v>
      </c>
      <c r="CW24" s="35">
        <f t="shared" si="109"/>
        <v>0</v>
      </c>
      <c r="CX24" s="35">
        <f t="shared" si="110"/>
        <v>0</v>
      </c>
      <c r="CY24" s="126">
        <f t="shared" si="111"/>
        <v>0</v>
      </c>
      <c r="CZ24" s="126">
        <f t="shared" si="112"/>
        <v>0</v>
      </c>
      <c r="DA24" s="126">
        <f t="shared" si="113"/>
        <v>0</v>
      </c>
      <c r="DB24" s="126">
        <f t="shared" si="114"/>
        <v>0</v>
      </c>
      <c r="DC24" s="35">
        <f t="shared" si="115"/>
        <v>0</v>
      </c>
      <c r="DD24" s="35">
        <f t="shared" si="116"/>
        <v>0</v>
      </c>
      <c r="DE24" s="35">
        <f t="shared" si="117"/>
        <v>0</v>
      </c>
      <c r="DF24" s="35">
        <f t="shared" si="118"/>
        <v>0</v>
      </c>
      <c r="DG24" s="5">
        <f t="shared" si="119"/>
        <v>0</v>
      </c>
    </row>
    <row r="25" spans="1:111" s="56" customFormat="1" ht="12.75" customHeight="1" x14ac:dyDescent="0.2">
      <c r="A25" s="449"/>
      <c r="B25" s="450"/>
      <c r="C25" s="450"/>
      <c r="D25" s="450"/>
      <c r="E25" s="450"/>
      <c r="F25" s="450"/>
      <c r="G25" s="450"/>
      <c r="H25" s="450"/>
      <c r="I25" s="450"/>
      <c r="J25" s="451"/>
      <c r="K25" s="136" t="s">
        <v>33</v>
      </c>
      <c r="L25" s="41"/>
      <c r="M25" s="41"/>
      <c r="N25" s="41"/>
      <c r="O25" s="41"/>
      <c r="P25" s="42"/>
      <c r="Q25" s="42"/>
      <c r="R25" s="42"/>
      <c r="S25" s="42"/>
      <c r="T25" s="41"/>
      <c r="U25" s="41"/>
      <c r="V25" s="41"/>
      <c r="W25" s="41"/>
      <c r="X25" s="42"/>
      <c r="Y25" s="42"/>
      <c r="Z25" s="42"/>
      <c r="AA25" s="42"/>
      <c r="AB25" s="41"/>
      <c r="AC25" s="41"/>
      <c r="AD25" s="41"/>
      <c r="AE25" s="41"/>
      <c r="AF25" s="42"/>
      <c r="AG25" s="42"/>
      <c r="AH25" s="42"/>
      <c r="AI25" s="42"/>
      <c r="AJ25" s="41"/>
      <c r="AK25" s="41"/>
      <c r="AL25" s="41"/>
      <c r="AM25" s="41"/>
      <c r="AN25" s="42"/>
      <c r="AO25" s="42"/>
      <c r="AP25" s="42"/>
      <c r="AQ25" s="42"/>
      <c r="AR25" s="41"/>
      <c r="AS25" s="41"/>
      <c r="AT25" s="41"/>
      <c r="AU25" s="41"/>
      <c r="AV25" s="42"/>
      <c r="AW25" s="42"/>
      <c r="AX25" s="42"/>
      <c r="AY25" s="42"/>
      <c r="AZ25" s="41"/>
      <c r="BA25" s="41"/>
      <c r="BB25" s="41"/>
      <c r="BC25" s="41"/>
      <c r="BD25" s="42"/>
      <c r="BE25" s="42"/>
      <c r="BF25" s="42"/>
      <c r="BG25" s="42"/>
      <c r="BH25" s="285">
        <f t="shared" ref="BH25" si="313">SUM(L25:BG25)</f>
        <v>0</v>
      </c>
      <c r="BI25" s="12"/>
      <c r="BJ25" s="38">
        <f>VLOOKUP(K25,[0]!Factor_Range,2,FALSE)</f>
        <v>0.66</v>
      </c>
      <c r="BK25" s="126">
        <f t="shared" ref="BK25" si="314">HLOOKUP(BK$6,Effort_Level,2,FALSE)*(L25*$BJ25)</f>
        <v>0</v>
      </c>
      <c r="BL25" s="126">
        <f t="shared" ref="BL25" si="315">HLOOKUP(BL$6,Effort_Level,2,FALSE)*(M25*$BJ25)</f>
        <v>0</v>
      </c>
      <c r="BM25" s="126">
        <f t="shared" ref="BM25" si="316">HLOOKUP(BM$6,Effort_Level,2,FALSE)*(N25*$BJ25)</f>
        <v>0</v>
      </c>
      <c r="BN25" s="126">
        <f t="shared" ref="BN25" si="317">HLOOKUP(BN$6,Effort_Level,2,FALSE)*(O25*$BJ25)</f>
        <v>0</v>
      </c>
      <c r="BO25" s="35">
        <f t="shared" ref="BO25" si="318">HLOOKUP(BO$6,Effort_Level,3,FALSE)*(P25*$BJ25)</f>
        <v>0</v>
      </c>
      <c r="BP25" s="35">
        <f t="shared" ref="BP25" si="319">HLOOKUP(BP$6,Effort_Level,3,FALSE)*(Q25*$BJ25)</f>
        <v>0</v>
      </c>
      <c r="BQ25" s="35">
        <f t="shared" ref="BQ25" si="320">HLOOKUP(BQ$6,Effort_Level,3,FALSE)*(R25*$BJ25)</f>
        <v>0</v>
      </c>
      <c r="BR25" s="35">
        <f t="shared" ref="BR25" si="321">HLOOKUP(BR$6,Effort_Level,3,FALSE)*(S25*$BJ25)</f>
        <v>0</v>
      </c>
      <c r="BS25" s="126">
        <f t="shared" ref="BS25" si="322">HLOOKUP(BS$6,Effort_Level,4,FALSE)*(T25*$BJ25)</f>
        <v>0</v>
      </c>
      <c r="BT25" s="126">
        <f t="shared" ref="BT25" si="323">HLOOKUP(BT$6,Effort_Level,4,FALSE)*(U25*$BJ25)</f>
        <v>0</v>
      </c>
      <c r="BU25" s="126">
        <f t="shared" ref="BU25" si="324">HLOOKUP(BU$6,Effort_Level,4,FALSE)*(V25*$BJ25)</f>
        <v>0</v>
      </c>
      <c r="BV25" s="126">
        <f t="shared" ref="BV25" si="325">HLOOKUP(BV$6,Effort_Level,4,FALSE)*(W25*$BJ25)</f>
        <v>0</v>
      </c>
      <c r="BW25" s="35">
        <f t="shared" ref="BW25" si="326">HLOOKUP(BW$6,Effort_Level,5,FALSE)*(X25*$BJ25)</f>
        <v>0</v>
      </c>
      <c r="BX25" s="35">
        <f t="shared" ref="BX25" si="327">HLOOKUP(BX$6,Effort_Level,5,FALSE)*(Y25*$BJ25)</f>
        <v>0</v>
      </c>
      <c r="BY25" s="35">
        <f t="shared" ref="BY25" si="328">HLOOKUP(BY$6,Effort_Level,5,FALSE)*(Z25*$BJ25)</f>
        <v>0</v>
      </c>
      <c r="BZ25" s="35">
        <f t="shared" ref="BZ25" si="329">HLOOKUP(BZ$6,Effort_Level,5,FALSE)*(AA25*$BJ25)</f>
        <v>0</v>
      </c>
      <c r="CA25" s="126">
        <f t="shared" ref="CA25" si="330">HLOOKUP(CA$6,Effort_Level,6,FALSE)*(AB25*$BJ25)</f>
        <v>0</v>
      </c>
      <c r="CB25" s="126">
        <f t="shared" ref="CB25" si="331">HLOOKUP(CB$6,Effort_Level,6,FALSE)*(AC25*$BJ25)</f>
        <v>0</v>
      </c>
      <c r="CC25" s="126">
        <f t="shared" ref="CC25" si="332">HLOOKUP(CC$6,Effort_Level,6,FALSE)*(AD25*$BJ25)</f>
        <v>0</v>
      </c>
      <c r="CD25" s="126">
        <f t="shared" ref="CD25" si="333">HLOOKUP(CD$6,Effort_Level,6,FALSE)*(AE25*$BJ25)</f>
        <v>0</v>
      </c>
      <c r="CE25" s="35">
        <f t="shared" ref="CE25" si="334">HLOOKUP(CE$6,Effort_Level,7,FALSE)*(AF25*$BJ25)</f>
        <v>0</v>
      </c>
      <c r="CF25" s="35">
        <f t="shared" ref="CF25" si="335">HLOOKUP(CF$6,Effort_Level,7,FALSE)*(AG25*$BJ25)</f>
        <v>0</v>
      </c>
      <c r="CG25" s="35">
        <f t="shared" ref="CG25" si="336">HLOOKUP(CG$6,Effort_Level,7,FALSE)*(AH25*$BJ25)</f>
        <v>0</v>
      </c>
      <c r="CH25" s="35">
        <f t="shared" ref="CH25" si="337">HLOOKUP(CH$6,Effort_Level,7,FALSE)*(AI25*$BJ25)</f>
        <v>0</v>
      </c>
      <c r="CI25" s="126">
        <f t="shared" si="312"/>
        <v>0</v>
      </c>
      <c r="CJ25" s="126">
        <f t="shared" si="312"/>
        <v>0</v>
      </c>
      <c r="CK25" s="126">
        <f t="shared" ref="CK25" si="338">HLOOKUP(CK$6,Effort_Level,8,FALSE)*(AL25*$BJ25)</f>
        <v>0</v>
      </c>
      <c r="CL25" s="126">
        <f t="shared" ref="CL25" si="339">HLOOKUP(CL$6,Effort_Level,8,FALSE)*(AM25*$BJ25)</f>
        <v>0</v>
      </c>
      <c r="CM25" s="35">
        <f t="shared" ref="CM25" si="340">HLOOKUP(CM$6,Effort_Level,9,FALSE)*(AN25*$BJ25)</f>
        <v>0</v>
      </c>
      <c r="CN25" s="35">
        <f t="shared" ref="CN25" si="341">HLOOKUP(CN$6,Effort_Level,9,FALSE)*(AO25*$BJ25)</f>
        <v>0</v>
      </c>
      <c r="CO25" s="35">
        <f t="shared" ref="CO25" si="342">HLOOKUP(CO$6,Effort_Level,9,FALSE)*(AP25*$BJ25)</f>
        <v>0</v>
      </c>
      <c r="CP25" s="35">
        <f t="shared" ref="CP25" si="343">HLOOKUP(CP$6,Effort_Level,9,FALSE)*(AQ25*$BJ25)</f>
        <v>0</v>
      </c>
      <c r="CQ25" s="126">
        <f t="shared" ref="CQ25" si="344">HLOOKUP(CQ$6,Effort_Level,10,FALSE)*(AR25*$BJ25)</f>
        <v>0</v>
      </c>
      <c r="CR25" s="126">
        <f t="shared" ref="CR25" si="345">HLOOKUP(CR$6,Effort_Level,10,FALSE)*(AS25*$BJ25)</f>
        <v>0</v>
      </c>
      <c r="CS25" s="126">
        <f t="shared" ref="CS25" si="346">HLOOKUP(CS$6,Effort_Level,10,FALSE)*(AT25*$BJ25)</f>
        <v>0</v>
      </c>
      <c r="CT25" s="126">
        <f t="shared" ref="CT25" si="347">HLOOKUP(CT$6,Effort_Level,10,FALSE)*(AU25*$BJ25)</f>
        <v>0</v>
      </c>
      <c r="CU25" s="35">
        <f t="shared" ref="CU25" si="348">HLOOKUP(CU$6,Effort_Level,11,FALSE)*(AV25*$BJ25)</f>
        <v>0</v>
      </c>
      <c r="CV25" s="35">
        <f t="shared" ref="CV25" si="349">HLOOKUP(CV$6,Effort_Level,11,FALSE)*(AW25*$BJ25)</f>
        <v>0</v>
      </c>
      <c r="CW25" s="35">
        <f t="shared" ref="CW25" si="350">HLOOKUP(CW$6,Effort_Level,11,FALSE)*(AX25*$BJ25)</f>
        <v>0</v>
      </c>
      <c r="CX25" s="35">
        <f t="shared" ref="CX25" si="351">HLOOKUP(CX$6,Effort_Level,11,FALSE)*(AY25*$BJ25)</f>
        <v>0</v>
      </c>
      <c r="CY25" s="126">
        <f t="shared" ref="CY25" si="352">HLOOKUP(CY$6,Effort_Level,12,FALSE)*(AZ25*$BJ25)</f>
        <v>0</v>
      </c>
      <c r="CZ25" s="126">
        <f t="shared" ref="CZ25" si="353">HLOOKUP(CZ$6,Effort_Level,12,FALSE)*(BA25*$BJ25)</f>
        <v>0</v>
      </c>
      <c r="DA25" s="126">
        <f t="shared" ref="DA25" si="354">HLOOKUP(DA$6,Effort_Level,12,FALSE)*(BB25*$BJ25)</f>
        <v>0</v>
      </c>
      <c r="DB25" s="126">
        <f t="shared" ref="DB25" si="355">HLOOKUP(DB$6,Effort_Level,12,FALSE)*(BC25*$BJ25)</f>
        <v>0</v>
      </c>
      <c r="DC25" s="35">
        <f t="shared" ref="DC25" si="356">HLOOKUP(DC$6,Effort_Level,13,FALSE)*(BD25*$BJ25)</f>
        <v>0</v>
      </c>
      <c r="DD25" s="35">
        <f t="shared" ref="DD25" si="357">HLOOKUP(DD$6,Effort_Level,13,FALSE)*(BE25*$BJ25)</f>
        <v>0</v>
      </c>
      <c r="DE25" s="35">
        <f t="shared" ref="DE25" si="358">HLOOKUP(DE$6,Effort_Level,13,FALSE)*(BF25*$BJ25)</f>
        <v>0</v>
      </c>
      <c r="DF25" s="35">
        <f t="shared" ref="DF25" si="359">HLOOKUP(DF$6,Effort_Level,13,FALSE)*(BG25*$BJ25)</f>
        <v>0</v>
      </c>
      <c r="DG25" s="5">
        <f t="shared" ref="DG25" si="360">SUM(BK25:DF25)</f>
        <v>0</v>
      </c>
    </row>
    <row r="26" spans="1:111" s="56" customFormat="1" ht="12.75" customHeight="1" x14ac:dyDescent="0.2">
      <c r="A26" s="449"/>
      <c r="B26" s="450"/>
      <c r="C26" s="450"/>
      <c r="D26" s="450"/>
      <c r="E26" s="450"/>
      <c r="F26" s="450"/>
      <c r="G26" s="450"/>
      <c r="H26" s="450"/>
      <c r="I26" s="450"/>
      <c r="J26" s="451"/>
      <c r="K26" s="136" t="s">
        <v>33</v>
      </c>
      <c r="L26" s="41"/>
      <c r="M26" s="41"/>
      <c r="N26" s="41"/>
      <c r="O26" s="41"/>
      <c r="P26" s="42"/>
      <c r="Q26" s="42"/>
      <c r="R26" s="42"/>
      <c r="S26" s="42"/>
      <c r="T26" s="41"/>
      <c r="U26" s="41"/>
      <c r="V26" s="41"/>
      <c r="W26" s="41"/>
      <c r="X26" s="42"/>
      <c r="Y26" s="42"/>
      <c r="Z26" s="42"/>
      <c r="AA26" s="42"/>
      <c r="AB26" s="41"/>
      <c r="AC26" s="41"/>
      <c r="AD26" s="41"/>
      <c r="AE26" s="41"/>
      <c r="AF26" s="42"/>
      <c r="AG26" s="42"/>
      <c r="AH26" s="42"/>
      <c r="AI26" s="42"/>
      <c r="AJ26" s="41"/>
      <c r="AK26" s="41"/>
      <c r="AL26" s="41"/>
      <c r="AM26" s="41"/>
      <c r="AN26" s="42"/>
      <c r="AO26" s="42"/>
      <c r="AP26" s="42"/>
      <c r="AQ26" s="42"/>
      <c r="AR26" s="41"/>
      <c r="AS26" s="41"/>
      <c r="AT26" s="41"/>
      <c r="AU26" s="41"/>
      <c r="AV26" s="42"/>
      <c r="AW26" s="42"/>
      <c r="AX26" s="42"/>
      <c r="AY26" s="42"/>
      <c r="AZ26" s="41"/>
      <c r="BA26" s="41"/>
      <c r="BB26" s="41"/>
      <c r="BC26" s="41"/>
      <c r="BD26" s="42"/>
      <c r="BE26" s="42"/>
      <c r="BF26" s="42"/>
      <c r="BG26" s="42"/>
      <c r="BH26" s="285">
        <f t="shared" si="72"/>
        <v>0</v>
      </c>
      <c r="BI26" s="12"/>
      <c r="BJ26" s="38">
        <f>VLOOKUP(K26,[0]!Factor_Range,2,FALSE)</f>
        <v>0.66</v>
      </c>
      <c r="BK26" s="126">
        <f t="shared" si="73"/>
        <v>0</v>
      </c>
      <c r="BL26" s="126">
        <f t="shared" si="74"/>
        <v>0</v>
      </c>
      <c r="BM26" s="126">
        <f t="shared" si="75"/>
        <v>0</v>
      </c>
      <c r="BN26" s="126">
        <f t="shared" si="76"/>
        <v>0</v>
      </c>
      <c r="BO26" s="35">
        <f t="shared" si="77"/>
        <v>0</v>
      </c>
      <c r="BP26" s="35">
        <f t="shared" si="78"/>
        <v>0</v>
      </c>
      <c r="BQ26" s="35">
        <f t="shared" si="79"/>
        <v>0</v>
      </c>
      <c r="BR26" s="35">
        <f t="shared" si="80"/>
        <v>0</v>
      </c>
      <c r="BS26" s="126">
        <f t="shared" si="81"/>
        <v>0</v>
      </c>
      <c r="BT26" s="126">
        <f t="shared" si="82"/>
        <v>0</v>
      </c>
      <c r="BU26" s="126">
        <f t="shared" si="83"/>
        <v>0</v>
      </c>
      <c r="BV26" s="126">
        <f t="shared" si="84"/>
        <v>0</v>
      </c>
      <c r="BW26" s="35">
        <f t="shared" si="85"/>
        <v>0</v>
      </c>
      <c r="BX26" s="35">
        <f t="shared" si="86"/>
        <v>0</v>
      </c>
      <c r="BY26" s="35">
        <f t="shared" si="87"/>
        <v>0</v>
      </c>
      <c r="BZ26" s="35">
        <f t="shared" si="88"/>
        <v>0</v>
      </c>
      <c r="CA26" s="126">
        <f t="shared" si="89"/>
        <v>0</v>
      </c>
      <c r="CB26" s="126">
        <f t="shared" si="90"/>
        <v>0</v>
      </c>
      <c r="CC26" s="126">
        <f t="shared" si="91"/>
        <v>0</v>
      </c>
      <c r="CD26" s="126">
        <f t="shared" si="92"/>
        <v>0</v>
      </c>
      <c r="CE26" s="35">
        <f t="shared" si="93"/>
        <v>0</v>
      </c>
      <c r="CF26" s="35">
        <f t="shared" si="94"/>
        <v>0</v>
      </c>
      <c r="CG26" s="35">
        <f t="shared" si="95"/>
        <v>0</v>
      </c>
      <c r="CH26" s="35">
        <f t="shared" si="96"/>
        <v>0</v>
      </c>
      <c r="CI26" s="126">
        <f t="shared" si="312"/>
        <v>0</v>
      </c>
      <c r="CJ26" s="126">
        <f t="shared" si="312"/>
        <v>0</v>
      </c>
      <c r="CK26" s="126">
        <f t="shared" si="97"/>
        <v>0</v>
      </c>
      <c r="CL26" s="126">
        <f t="shared" si="98"/>
        <v>0</v>
      </c>
      <c r="CM26" s="35">
        <f t="shared" si="99"/>
        <v>0</v>
      </c>
      <c r="CN26" s="35">
        <f t="shared" si="100"/>
        <v>0</v>
      </c>
      <c r="CO26" s="35">
        <f t="shared" si="101"/>
        <v>0</v>
      </c>
      <c r="CP26" s="35">
        <f t="shared" si="102"/>
        <v>0</v>
      </c>
      <c r="CQ26" s="126">
        <f t="shared" si="103"/>
        <v>0</v>
      </c>
      <c r="CR26" s="126">
        <f t="shared" si="104"/>
        <v>0</v>
      </c>
      <c r="CS26" s="126">
        <f t="shared" si="105"/>
        <v>0</v>
      </c>
      <c r="CT26" s="126">
        <f t="shared" si="106"/>
        <v>0</v>
      </c>
      <c r="CU26" s="35">
        <f t="shared" si="107"/>
        <v>0</v>
      </c>
      <c r="CV26" s="35">
        <f t="shared" si="108"/>
        <v>0</v>
      </c>
      <c r="CW26" s="35">
        <f t="shared" si="109"/>
        <v>0</v>
      </c>
      <c r="CX26" s="35">
        <f t="shared" si="110"/>
        <v>0</v>
      </c>
      <c r="CY26" s="126">
        <f t="shared" si="111"/>
        <v>0</v>
      </c>
      <c r="CZ26" s="126">
        <f t="shared" si="112"/>
        <v>0</v>
      </c>
      <c r="DA26" s="126">
        <f t="shared" si="113"/>
        <v>0</v>
      </c>
      <c r="DB26" s="126">
        <f t="shared" si="114"/>
        <v>0</v>
      </c>
      <c r="DC26" s="35">
        <f t="shared" si="115"/>
        <v>0</v>
      </c>
      <c r="DD26" s="35">
        <f t="shared" si="116"/>
        <v>0</v>
      </c>
      <c r="DE26" s="35">
        <f t="shared" si="117"/>
        <v>0</v>
      </c>
      <c r="DF26" s="35">
        <f t="shared" si="118"/>
        <v>0</v>
      </c>
      <c r="DG26" s="5">
        <f t="shared" si="119"/>
        <v>0</v>
      </c>
    </row>
    <row r="27" spans="1:111" s="56" customFormat="1" ht="12.75" customHeight="1" x14ac:dyDescent="0.2">
      <c r="A27" s="449"/>
      <c r="B27" s="450"/>
      <c r="C27" s="450"/>
      <c r="D27" s="450"/>
      <c r="E27" s="450"/>
      <c r="F27" s="450"/>
      <c r="G27" s="450"/>
      <c r="H27" s="450"/>
      <c r="I27" s="450"/>
      <c r="J27" s="451"/>
      <c r="K27" s="136" t="s">
        <v>33</v>
      </c>
      <c r="L27" s="41"/>
      <c r="M27" s="41"/>
      <c r="N27" s="41"/>
      <c r="O27" s="41"/>
      <c r="P27" s="42"/>
      <c r="Q27" s="42"/>
      <c r="R27" s="42"/>
      <c r="S27" s="42"/>
      <c r="T27" s="41"/>
      <c r="U27" s="41"/>
      <c r="V27" s="41"/>
      <c r="W27" s="41"/>
      <c r="X27" s="42"/>
      <c r="Y27" s="42"/>
      <c r="Z27" s="42"/>
      <c r="AA27" s="42"/>
      <c r="AB27" s="41"/>
      <c r="AC27" s="41"/>
      <c r="AD27" s="41"/>
      <c r="AE27" s="41"/>
      <c r="AF27" s="42"/>
      <c r="AG27" s="42"/>
      <c r="AH27" s="42"/>
      <c r="AI27" s="42"/>
      <c r="AJ27" s="41"/>
      <c r="AK27" s="41"/>
      <c r="AL27" s="41"/>
      <c r="AM27" s="41"/>
      <c r="AN27" s="42"/>
      <c r="AO27" s="42"/>
      <c r="AP27" s="42"/>
      <c r="AQ27" s="42"/>
      <c r="AR27" s="41"/>
      <c r="AS27" s="41"/>
      <c r="AT27" s="41"/>
      <c r="AU27" s="41"/>
      <c r="AV27" s="42"/>
      <c r="AW27" s="42"/>
      <c r="AX27" s="42"/>
      <c r="AY27" s="42"/>
      <c r="AZ27" s="41"/>
      <c r="BA27" s="41"/>
      <c r="BB27" s="41"/>
      <c r="BC27" s="41"/>
      <c r="BD27" s="42"/>
      <c r="BE27" s="42"/>
      <c r="BF27" s="42"/>
      <c r="BG27" s="42"/>
      <c r="BH27" s="285"/>
      <c r="BI27" s="12"/>
      <c r="BJ27" s="38"/>
      <c r="BK27" s="126"/>
      <c r="BL27" s="126"/>
      <c r="BM27" s="126"/>
      <c r="BN27" s="126"/>
      <c r="BO27" s="35"/>
      <c r="BP27" s="35"/>
      <c r="BQ27" s="35"/>
      <c r="BR27" s="35"/>
      <c r="BS27" s="126"/>
      <c r="BT27" s="126"/>
      <c r="BU27" s="126"/>
      <c r="BV27" s="126"/>
      <c r="BW27" s="35"/>
      <c r="BX27" s="35"/>
      <c r="BY27" s="35"/>
      <c r="BZ27" s="35"/>
      <c r="CA27" s="126"/>
      <c r="CB27" s="126"/>
      <c r="CC27" s="126"/>
      <c r="CD27" s="126"/>
      <c r="CE27" s="35"/>
      <c r="CF27" s="35"/>
      <c r="CG27" s="35"/>
      <c r="CH27" s="35"/>
      <c r="CI27" s="126"/>
      <c r="CJ27" s="126"/>
      <c r="CK27" s="126"/>
      <c r="CL27" s="126"/>
      <c r="CM27" s="35"/>
      <c r="CN27" s="35"/>
      <c r="CO27" s="35"/>
      <c r="CP27" s="35"/>
      <c r="CQ27" s="126"/>
      <c r="CR27" s="126"/>
      <c r="CS27" s="126"/>
      <c r="CT27" s="126"/>
      <c r="CU27" s="35"/>
      <c r="CV27" s="35"/>
      <c r="CW27" s="35"/>
      <c r="CX27" s="35"/>
      <c r="CY27" s="126"/>
      <c r="CZ27" s="126"/>
      <c r="DA27" s="126"/>
      <c r="DB27" s="126"/>
      <c r="DC27" s="35"/>
      <c r="DD27" s="35"/>
      <c r="DE27" s="35"/>
      <c r="DF27" s="35"/>
      <c r="DG27" s="5"/>
    </row>
    <row r="28" spans="1:111" s="56" customFormat="1" ht="12.75" customHeight="1" x14ac:dyDescent="0.2">
      <c r="A28" s="398"/>
      <c r="B28" s="399"/>
      <c r="C28" s="399"/>
      <c r="D28" s="399"/>
      <c r="E28" s="399"/>
      <c r="F28" s="399"/>
      <c r="G28" s="399"/>
      <c r="H28" s="399"/>
      <c r="I28" s="399"/>
      <c r="J28" s="400"/>
      <c r="K28" s="136"/>
      <c r="L28" s="41"/>
      <c r="M28" s="41"/>
      <c r="N28" s="41"/>
      <c r="O28" s="41"/>
      <c r="P28" s="42"/>
      <c r="Q28" s="42"/>
      <c r="R28" s="42"/>
      <c r="S28" s="42"/>
      <c r="T28" s="41"/>
      <c r="U28" s="41"/>
      <c r="V28" s="41"/>
      <c r="W28" s="41"/>
      <c r="X28" s="42"/>
      <c r="Y28" s="42"/>
      <c r="Z28" s="42"/>
      <c r="AA28" s="42"/>
      <c r="AB28" s="41"/>
      <c r="AC28" s="41"/>
      <c r="AD28" s="41"/>
      <c r="AE28" s="41"/>
      <c r="AF28" s="42"/>
      <c r="AG28" s="42"/>
      <c r="AH28" s="42"/>
      <c r="AI28" s="42"/>
      <c r="AJ28" s="41"/>
      <c r="AK28" s="41"/>
      <c r="AL28" s="41"/>
      <c r="AM28" s="41"/>
      <c r="AN28" s="42"/>
      <c r="AO28" s="42"/>
      <c r="AP28" s="42"/>
      <c r="AQ28" s="42"/>
      <c r="AR28" s="41"/>
      <c r="AS28" s="41"/>
      <c r="AT28" s="41"/>
      <c r="AU28" s="41"/>
      <c r="AV28" s="42"/>
      <c r="AW28" s="42"/>
      <c r="AX28" s="42"/>
      <c r="AY28" s="42"/>
      <c r="AZ28" s="41"/>
      <c r="BA28" s="41"/>
      <c r="BB28" s="41"/>
      <c r="BC28" s="41"/>
      <c r="BD28" s="42"/>
      <c r="BE28" s="42"/>
      <c r="BF28" s="42"/>
      <c r="BG28" s="42"/>
      <c r="BH28" s="285"/>
      <c r="BI28" s="12"/>
      <c r="BJ28" s="38"/>
      <c r="BK28" s="126"/>
      <c r="BL28" s="126"/>
      <c r="BM28" s="126"/>
      <c r="BN28" s="126"/>
      <c r="BO28" s="35"/>
      <c r="BP28" s="35"/>
      <c r="BQ28" s="35"/>
      <c r="BR28" s="35"/>
      <c r="BS28" s="126"/>
      <c r="BT28" s="126"/>
      <c r="BU28" s="126"/>
      <c r="BV28" s="126"/>
      <c r="BW28" s="35"/>
      <c r="BX28" s="35"/>
      <c r="BY28" s="35"/>
      <c r="BZ28" s="35"/>
      <c r="CA28" s="126"/>
      <c r="CB28" s="126"/>
      <c r="CC28" s="126"/>
      <c r="CD28" s="126"/>
      <c r="CE28" s="35"/>
      <c r="CF28" s="35"/>
      <c r="CG28" s="35"/>
      <c r="CH28" s="35"/>
      <c r="CI28" s="126"/>
      <c r="CJ28" s="126"/>
      <c r="CK28" s="126"/>
      <c r="CL28" s="126"/>
      <c r="CM28" s="35"/>
      <c r="CN28" s="35"/>
      <c r="CO28" s="35"/>
      <c r="CP28" s="35"/>
      <c r="CQ28" s="126"/>
      <c r="CR28" s="126"/>
      <c r="CS28" s="126"/>
      <c r="CT28" s="126"/>
      <c r="CU28" s="35"/>
      <c r="CV28" s="35"/>
      <c r="CW28" s="35"/>
      <c r="CX28" s="35"/>
      <c r="CY28" s="126"/>
      <c r="CZ28" s="126"/>
      <c r="DA28" s="126"/>
      <c r="DB28" s="126"/>
      <c r="DC28" s="35"/>
      <c r="DD28" s="35"/>
      <c r="DE28" s="35"/>
      <c r="DF28" s="35"/>
      <c r="DG28" s="5"/>
    </row>
    <row r="29" spans="1:111" s="57" customFormat="1" ht="12.75" customHeight="1" x14ac:dyDescent="0.2">
      <c r="A29" s="471" t="s">
        <v>209</v>
      </c>
      <c r="B29" s="472"/>
      <c r="C29" s="472"/>
      <c r="D29" s="472"/>
      <c r="E29" s="472"/>
      <c r="F29" s="472"/>
      <c r="G29" s="472"/>
      <c r="H29" s="472"/>
      <c r="I29" s="472"/>
      <c r="J29" s="473"/>
      <c r="K29" s="286"/>
      <c r="L29" s="280">
        <f t="shared" ref="L29:AI29" si="361">SUM(L8:L26)</f>
        <v>0</v>
      </c>
      <c r="M29" s="280">
        <f t="shared" si="361"/>
        <v>0</v>
      </c>
      <c r="N29" s="280">
        <f t="shared" si="361"/>
        <v>0</v>
      </c>
      <c r="O29" s="280">
        <f t="shared" si="361"/>
        <v>2</v>
      </c>
      <c r="P29" s="281">
        <f t="shared" si="361"/>
        <v>0</v>
      </c>
      <c r="Q29" s="281">
        <f t="shared" si="361"/>
        <v>0</v>
      </c>
      <c r="R29" s="281">
        <f t="shared" si="361"/>
        <v>0</v>
      </c>
      <c r="S29" s="281">
        <f t="shared" si="361"/>
        <v>0</v>
      </c>
      <c r="T29" s="280">
        <f t="shared" si="361"/>
        <v>0</v>
      </c>
      <c r="U29" s="280">
        <f t="shared" si="361"/>
        <v>0</v>
      </c>
      <c r="V29" s="280">
        <f t="shared" si="361"/>
        <v>0</v>
      </c>
      <c r="W29" s="280">
        <f t="shared" si="361"/>
        <v>0</v>
      </c>
      <c r="X29" s="281">
        <f t="shared" si="361"/>
        <v>0</v>
      </c>
      <c r="Y29" s="281">
        <f t="shared" si="361"/>
        <v>0</v>
      </c>
      <c r="Z29" s="281">
        <f t="shared" si="361"/>
        <v>0</v>
      </c>
      <c r="AA29" s="281">
        <f t="shared" si="361"/>
        <v>0</v>
      </c>
      <c r="AB29" s="280">
        <f t="shared" si="361"/>
        <v>0</v>
      </c>
      <c r="AC29" s="280">
        <f t="shared" si="361"/>
        <v>0</v>
      </c>
      <c r="AD29" s="280">
        <f t="shared" si="361"/>
        <v>0</v>
      </c>
      <c r="AE29" s="280">
        <f t="shared" si="361"/>
        <v>0</v>
      </c>
      <c r="AF29" s="281">
        <f t="shared" si="361"/>
        <v>0</v>
      </c>
      <c r="AG29" s="281">
        <f t="shared" si="361"/>
        <v>0</v>
      </c>
      <c r="AH29" s="281">
        <f t="shared" si="361"/>
        <v>0</v>
      </c>
      <c r="AI29" s="281">
        <f t="shared" si="361"/>
        <v>0</v>
      </c>
      <c r="AJ29" s="280">
        <f>SUM(AJ8:AJ27)</f>
        <v>0</v>
      </c>
      <c r="AK29" s="280">
        <f t="shared" ref="AK29:BH29" si="362">SUM(AK8:AK26)</f>
        <v>0</v>
      </c>
      <c r="AL29" s="280">
        <f t="shared" si="362"/>
        <v>0</v>
      </c>
      <c r="AM29" s="280">
        <f t="shared" si="362"/>
        <v>0</v>
      </c>
      <c r="AN29" s="281">
        <f t="shared" si="362"/>
        <v>0</v>
      </c>
      <c r="AO29" s="281">
        <f t="shared" si="362"/>
        <v>0</v>
      </c>
      <c r="AP29" s="281">
        <f t="shared" si="362"/>
        <v>0</v>
      </c>
      <c r="AQ29" s="281">
        <f t="shared" si="362"/>
        <v>2</v>
      </c>
      <c r="AR29" s="280">
        <f t="shared" si="362"/>
        <v>0</v>
      </c>
      <c r="AS29" s="280">
        <f t="shared" si="362"/>
        <v>0</v>
      </c>
      <c r="AT29" s="280">
        <f t="shared" si="362"/>
        <v>0</v>
      </c>
      <c r="AU29" s="280">
        <f t="shared" si="362"/>
        <v>0</v>
      </c>
      <c r="AV29" s="281">
        <f t="shared" si="362"/>
        <v>0</v>
      </c>
      <c r="AW29" s="281">
        <f t="shared" si="362"/>
        <v>0</v>
      </c>
      <c r="AX29" s="281">
        <f t="shared" si="362"/>
        <v>2</v>
      </c>
      <c r="AY29" s="281">
        <f t="shared" si="362"/>
        <v>0</v>
      </c>
      <c r="AZ29" s="280">
        <f t="shared" si="362"/>
        <v>0</v>
      </c>
      <c r="BA29" s="280">
        <f t="shared" si="362"/>
        <v>0</v>
      </c>
      <c r="BB29" s="280">
        <f t="shared" si="362"/>
        <v>0</v>
      </c>
      <c r="BC29" s="280">
        <f t="shared" si="362"/>
        <v>0</v>
      </c>
      <c r="BD29" s="281">
        <f t="shared" si="362"/>
        <v>0</v>
      </c>
      <c r="BE29" s="281">
        <f t="shared" si="362"/>
        <v>0</v>
      </c>
      <c r="BF29" s="281">
        <f t="shared" si="362"/>
        <v>0</v>
      </c>
      <c r="BG29" s="281">
        <f t="shared" si="362"/>
        <v>0</v>
      </c>
      <c r="BH29" s="281">
        <f t="shared" si="362"/>
        <v>6</v>
      </c>
      <c r="BI29" s="13"/>
      <c r="BJ29" s="39"/>
      <c r="BK29" s="27">
        <f t="shared" ref="BK29:CP29" si="363">SUM(BK8:BK26)</f>
        <v>0</v>
      </c>
      <c r="BL29" s="27">
        <f t="shared" si="363"/>
        <v>0</v>
      </c>
      <c r="BM29" s="27">
        <f t="shared" si="363"/>
        <v>0</v>
      </c>
      <c r="BN29" s="27">
        <f t="shared" si="363"/>
        <v>21.12</v>
      </c>
      <c r="BO29" s="33">
        <f t="shared" si="363"/>
        <v>0</v>
      </c>
      <c r="BP29" s="33">
        <f t="shared" si="363"/>
        <v>0</v>
      </c>
      <c r="BQ29" s="33">
        <f t="shared" si="363"/>
        <v>0</v>
      </c>
      <c r="BR29" s="33">
        <f t="shared" si="363"/>
        <v>0</v>
      </c>
      <c r="BS29" s="27">
        <f t="shared" si="363"/>
        <v>0</v>
      </c>
      <c r="BT29" s="27">
        <f t="shared" si="363"/>
        <v>0</v>
      </c>
      <c r="BU29" s="27">
        <f t="shared" si="363"/>
        <v>0</v>
      </c>
      <c r="BV29" s="27">
        <f t="shared" si="363"/>
        <v>0</v>
      </c>
      <c r="BW29" s="33">
        <f t="shared" si="363"/>
        <v>0</v>
      </c>
      <c r="BX29" s="33">
        <f t="shared" si="363"/>
        <v>0</v>
      </c>
      <c r="BY29" s="33">
        <f t="shared" si="363"/>
        <v>0</v>
      </c>
      <c r="BZ29" s="33">
        <f t="shared" si="363"/>
        <v>0</v>
      </c>
      <c r="CA29" s="27">
        <f t="shared" si="363"/>
        <v>0</v>
      </c>
      <c r="CB29" s="27">
        <f t="shared" si="363"/>
        <v>0</v>
      </c>
      <c r="CC29" s="27">
        <f t="shared" si="363"/>
        <v>0</v>
      </c>
      <c r="CD29" s="27">
        <f t="shared" si="363"/>
        <v>0</v>
      </c>
      <c r="CE29" s="33">
        <f t="shared" si="363"/>
        <v>0</v>
      </c>
      <c r="CF29" s="33">
        <f t="shared" si="363"/>
        <v>0</v>
      </c>
      <c r="CG29" s="33">
        <f t="shared" si="363"/>
        <v>0</v>
      </c>
      <c r="CH29" s="33">
        <f t="shared" si="363"/>
        <v>0</v>
      </c>
      <c r="CI29" s="27">
        <f t="shared" si="363"/>
        <v>0</v>
      </c>
      <c r="CJ29" s="27">
        <f t="shared" si="363"/>
        <v>0</v>
      </c>
      <c r="CK29" s="27">
        <f t="shared" si="363"/>
        <v>0</v>
      </c>
      <c r="CL29" s="27">
        <f t="shared" si="363"/>
        <v>0</v>
      </c>
      <c r="CM29" s="33">
        <f t="shared" si="363"/>
        <v>0</v>
      </c>
      <c r="CN29" s="33">
        <f t="shared" si="363"/>
        <v>0</v>
      </c>
      <c r="CO29" s="33">
        <f t="shared" si="363"/>
        <v>0</v>
      </c>
      <c r="CP29" s="33">
        <f t="shared" si="363"/>
        <v>19.8</v>
      </c>
      <c r="CQ29" s="27">
        <f t="shared" ref="CQ29:DG29" si="364">SUM(CQ8:CQ26)</f>
        <v>0</v>
      </c>
      <c r="CR29" s="27">
        <f t="shared" si="364"/>
        <v>0</v>
      </c>
      <c r="CS29" s="27">
        <f t="shared" si="364"/>
        <v>0</v>
      </c>
      <c r="CT29" s="27">
        <f t="shared" si="364"/>
        <v>0</v>
      </c>
      <c r="CU29" s="33">
        <f t="shared" si="364"/>
        <v>0</v>
      </c>
      <c r="CV29" s="33">
        <f t="shared" si="364"/>
        <v>0</v>
      </c>
      <c r="CW29" s="33">
        <f t="shared" si="364"/>
        <v>15.84</v>
      </c>
      <c r="CX29" s="33">
        <f t="shared" si="364"/>
        <v>0</v>
      </c>
      <c r="CY29" s="27">
        <f t="shared" si="364"/>
        <v>0</v>
      </c>
      <c r="CZ29" s="27">
        <f t="shared" si="364"/>
        <v>0</v>
      </c>
      <c r="DA29" s="27">
        <f t="shared" si="364"/>
        <v>0</v>
      </c>
      <c r="DB29" s="27">
        <f t="shared" si="364"/>
        <v>0</v>
      </c>
      <c r="DC29" s="33">
        <f t="shared" si="364"/>
        <v>0</v>
      </c>
      <c r="DD29" s="33">
        <f t="shared" si="364"/>
        <v>0</v>
      </c>
      <c r="DE29" s="33">
        <f t="shared" si="364"/>
        <v>0</v>
      </c>
      <c r="DF29" s="33">
        <f t="shared" si="364"/>
        <v>0</v>
      </c>
      <c r="DG29" s="8">
        <f t="shared" si="364"/>
        <v>56.760000000000005</v>
      </c>
    </row>
    <row r="30" spans="1:111" s="56" customFormat="1" ht="12.75" customHeight="1" x14ac:dyDescent="0.2">
      <c r="A30" s="468" t="s">
        <v>40</v>
      </c>
      <c r="B30" s="469"/>
      <c r="C30" s="469"/>
      <c r="D30" s="469"/>
      <c r="E30" s="469"/>
      <c r="F30" s="469"/>
      <c r="G30" s="469"/>
      <c r="H30" s="469"/>
      <c r="I30" s="469"/>
      <c r="J30" s="470"/>
      <c r="K30" s="282"/>
      <c r="L30" s="283"/>
      <c r="M30" s="283"/>
      <c r="N30" s="283"/>
      <c r="O30" s="283"/>
      <c r="P30" s="283"/>
      <c r="Q30" s="283"/>
      <c r="R30" s="283"/>
      <c r="S30" s="283"/>
      <c r="T30" s="283"/>
      <c r="U30" s="283"/>
      <c r="V30" s="283"/>
      <c r="W30" s="283"/>
      <c r="X30" s="283"/>
      <c r="Y30" s="283"/>
      <c r="Z30" s="283"/>
      <c r="AA30" s="283"/>
      <c r="AB30" s="283"/>
      <c r="AC30" s="283"/>
      <c r="AD30" s="283"/>
      <c r="AE30" s="283"/>
      <c r="AF30" s="283"/>
      <c r="AG30" s="283"/>
      <c r="AH30" s="283"/>
      <c r="AI30" s="283"/>
      <c r="AJ30" s="283"/>
      <c r="AK30" s="283"/>
      <c r="AL30" s="283"/>
      <c r="AM30" s="283"/>
      <c r="AN30" s="283"/>
      <c r="AO30" s="283"/>
      <c r="AP30" s="283"/>
      <c r="AQ30" s="283"/>
      <c r="AR30" s="283"/>
      <c r="AS30" s="283"/>
      <c r="AT30" s="283"/>
      <c r="AU30" s="283"/>
      <c r="AV30" s="283"/>
      <c r="AW30" s="283"/>
      <c r="AX30" s="283"/>
      <c r="AY30" s="283"/>
      <c r="AZ30" s="283"/>
      <c r="BA30" s="283"/>
      <c r="BB30" s="283"/>
      <c r="BC30" s="283"/>
      <c r="BD30" s="283"/>
      <c r="BE30" s="283"/>
      <c r="BF30" s="283"/>
      <c r="BG30" s="283"/>
      <c r="BH30" s="284"/>
      <c r="BI30" s="12"/>
      <c r="BJ30" s="37"/>
      <c r="BK30" s="28"/>
      <c r="BL30" s="28"/>
      <c r="BM30" s="28"/>
      <c r="BN30" s="28"/>
      <c r="BO30" s="34"/>
      <c r="BP30" s="34"/>
      <c r="BQ30" s="34"/>
      <c r="BR30" s="34"/>
      <c r="BS30" s="28"/>
      <c r="BT30" s="28"/>
      <c r="BU30" s="28"/>
      <c r="BV30" s="28"/>
      <c r="BW30" s="34"/>
      <c r="BX30" s="34"/>
      <c r="BY30" s="34"/>
      <c r="BZ30" s="34"/>
      <c r="CA30" s="28"/>
      <c r="CB30" s="28"/>
      <c r="CC30" s="28"/>
      <c r="CD30" s="28"/>
      <c r="CE30" s="34"/>
      <c r="CF30" s="34"/>
      <c r="CG30" s="34"/>
      <c r="CH30" s="34"/>
      <c r="CI30" s="28"/>
      <c r="CJ30" s="28"/>
      <c r="CK30" s="28"/>
      <c r="CL30" s="28"/>
      <c r="CM30" s="34"/>
      <c r="CN30" s="34"/>
      <c r="CO30" s="34"/>
      <c r="CP30" s="34"/>
      <c r="CQ30" s="28"/>
      <c r="CR30" s="28"/>
      <c r="CS30" s="28"/>
      <c r="CT30" s="28"/>
      <c r="CU30" s="34"/>
      <c r="CV30" s="34"/>
      <c r="CW30" s="34"/>
      <c r="CX30" s="34"/>
      <c r="CY30" s="28"/>
      <c r="CZ30" s="28"/>
      <c r="DA30" s="28"/>
      <c r="DB30" s="28"/>
      <c r="DC30" s="34"/>
      <c r="DD30" s="34"/>
      <c r="DE30" s="34"/>
      <c r="DF30" s="34"/>
      <c r="DG30" s="9"/>
    </row>
    <row r="31" spans="1:111" s="56" customFormat="1" ht="12.75" customHeight="1" x14ac:dyDescent="0.2">
      <c r="A31" s="449" t="s">
        <v>39</v>
      </c>
      <c r="B31" s="450"/>
      <c r="C31" s="450"/>
      <c r="D31" s="450"/>
      <c r="E31" s="450"/>
      <c r="F31" s="450"/>
      <c r="G31" s="450"/>
      <c r="H31" s="450"/>
      <c r="I31" s="450"/>
      <c r="J31" s="451"/>
      <c r="K31" s="136" t="s">
        <v>32</v>
      </c>
      <c r="L31" s="41"/>
      <c r="M31" s="41"/>
      <c r="N31" s="41"/>
      <c r="O31" s="41"/>
      <c r="P31" s="42"/>
      <c r="Q31" s="42"/>
      <c r="R31" s="42"/>
      <c r="S31" s="42"/>
      <c r="T31" s="41"/>
      <c r="U31" s="41"/>
      <c r="V31" s="41"/>
      <c r="W31" s="41"/>
      <c r="X31" s="42"/>
      <c r="Y31" s="42"/>
      <c r="Z31" s="42"/>
      <c r="AA31" s="42"/>
      <c r="AB31" s="41"/>
      <c r="AC31" s="41"/>
      <c r="AD31" s="41"/>
      <c r="AE31" s="41"/>
      <c r="AF31" s="42"/>
      <c r="AG31" s="42"/>
      <c r="AH31" s="42"/>
      <c r="AI31" s="42"/>
      <c r="AJ31" s="41"/>
      <c r="AK31" s="41"/>
      <c r="AL31" s="41"/>
      <c r="AM31" s="41"/>
      <c r="AN31" s="42"/>
      <c r="AO31" s="42"/>
      <c r="AP31" s="42"/>
      <c r="AQ31" s="42"/>
      <c r="AR31" s="41"/>
      <c r="AS31" s="41"/>
      <c r="AT31" s="41"/>
      <c r="AU31" s="41"/>
      <c r="AV31" s="42"/>
      <c r="AW31" s="42"/>
      <c r="AX31" s="42"/>
      <c r="AY31" s="42"/>
      <c r="AZ31" s="41"/>
      <c r="BA31" s="41"/>
      <c r="BB31" s="41"/>
      <c r="BC31" s="41"/>
      <c r="BD31" s="42"/>
      <c r="BE31" s="42"/>
      <c r="BF31" s="42"/>
      <c r="BG31" s="42"/>
      <c r="BH31" s="285">
        <f>SUM(L31:BG31)</f>
        <v>0</v>
      </c>
      <c r="BI31" s="12"/>
      <c r="BJ31" s="38">
        <f>VLOOKUP(K31,[0]!Factor_Range,2,FALSE)</f>
        <v>1</v>
      </c>
      <c r="BK31" s="126">
        <f t="shared" ref="BK31:BN35" si="365">HLOOKUP(BK$6,Effort_Level,2,FALSE)*(L31*$BJ31)</f>
        <v>0</v>
      </c>
      <c r="BL31" s="126">
        <f t="shared" si="365"/>
        <v>0</v>
      </c>
      <c r="BM31" s="126">
        <f t="shared" si="365"/>
        <v>0</v>
      </c>
      <c r="BN31" s="126">
        <f t="shared" si="365"/>
        <v>0</v>
      </c>
      <c r="BO31" s="35">
        <f t="shared" ref="BO31:BR35" si="366">HLOOKUP(BO$6,Effort_Level,3,FALSE)*(P31*$BJ31)</f>
        <v>0</v>
      </c>
      <c r="BP31" s="35">
        <f t="shared" si="366"/>
        <v>0</v>
      </c>
      <c r="BQ31" s="35">
        <f t="shared" si="366"/>
        <v>0</v>
      </c>
      <c r="BR31" s="35">
        <f t="shared" si="366"/>
        <v>0</v>
      </c>
      <c r="BS31" s="126">
        <f t="shared" ref="BS31:BV35" si="367">HLOOKUP(BS$6,Effort_Level,4,FALSE)*(T31*$BJ31)</f>
        <v>0</v>
      </c>
      <c r="BT31" s="126">
        <f t="shared" si="367"/>
        <v>0</v>
      </c>
      <c r="BU31" s="126">
        <f t="shared" si="367"/>
        <v>0</v>
      </c>
      <c r="BV31" s="126">
        <f t="shared" si="367"/>
        <v>0</v>
      </c>
      <c r="BW31" s="35">
        <f t="shared" ref="BW31:BZ35" si="368">HLOOKUP(BW$6,Effort_Level,5,FALSE)*(X31*$BJ31)</f>
        <v>0</v>
      </c>
      <c r="BX31" s="35">
        <f t="shared" si="368"/>
        <v>0</v>
      </c>
      <c r="BY31" s="35">
        <f t="shared" si="368"/>
        <v>0</v>
      </c>
      <c r="BZ31" s="35">
        <f t="shared" si="368"/>
        <v>0</v>
      </c>
      <c r="CA31" s="126">
        <f t="shared" ref="CA31:CD35" si="369">HLOOKUP(CA$6,Effort_Level,6,FALSE)*(AB31*$BJ31)</f>
        <v>0</v>
      </c>
      <c r="CB31" s="126">
        <f t="shared" si="369"/>
        <v>0</v>
      </c>
      <c r="CC31" s="126">
        <f t="shared" si="369"/>
        <v>0</v>
      </c>
      <c r="CD31" s="126">
        <f t="shared" si="369"/>
        <v>0</v>
      </c>
      <c r="CE31" s="35">
        <f t="shared" ref="CE31:CH35" si="370">HLOOKUP(CE$6,Effort_Level,7,FALSE)*(AF31*$BJ31)</f>
        <v>0</v>
      </c>
      <c r="CF31" s="35">
        <f t="shared" si="370"/>
        <v>0</v>
      </c>
      <c r="CG31" s="35">
        <f t="shared" si="370"/>
        <v>0</v>
      </c>
      <c r="CH31" s="35">
        <f t="shared" si="370"/>
        <v>0</v>
      </c>
      <c r="CI31" s="126">
        <f t="shared" ref="CI31:CL35" si="371">HLOOKUP(CI$6,Effort_Level,8,FALSE)*(AJ31*$BJ31)</f>
        <v>0</v>
      </c>
      <c r="CJ31" s="126">
        <f t="shared" si="371"/>
        <v>0</v>
      </c>
      <c r="CK31" s="126">
        <f t="shared" si="371"/>
        <v>0</v>
      </c>
      <c r="CL31" s="126">
        <f t="shared" si="371"/>
        <v>0</v>
      </c>
      <c r="CM31" s="35">
        <f t="shared" ref="CM31:CP35" si="372">HLOOKUP(CM$6,Effort_Level,9,FALSE)*(AN31*$BJ31)</f>
        <v>0</v>
      </c>
      <c r="CN31" s="35">
        <f t="shared" si="372"/>
        <v>0</v>
      </c>
      <c r="CO31" s="35">
        <f t="shared" si="372"/>
        <v>0</v>
      </c>
      <c r="CP31" s="35">
        <f t="shared" si="372"/>
        <v>0</v>
      </c>
      <c r="CQ31" s="126">
        <f t="shared" ref="CQ31:CT35" si="373">HLOOKUP(CQ$6,Effort_Level,10,FALSE)*(AR31*$BJ31)</f>
        <v>0</v>
      </c>
      <c r="CR31" s="126">
        <f t="shared" si="373"/>
        <v>0</v>
      </c>
      <c r="CS31" s="126">
        <f t="shared" si="373"/>
        <v>0</v>
      </c>
      <c r="CT31" s="126">
        <f t="shared" si="373"/>
        <v>0</v>
      </c>
      <c r="CU31" s="35">
        <f t="shared" ref="CU31:CX35" si="374">HLOOKUP(CU$6,Effort_Level,11,FALSE)*(AV31*$BJ31)</f>
        <v>0</v>
      </c>
      <c r="CV31" s="35">
        <f t="shared" si="374"/>
        <v>0</v>
      </c>
      <c r="CW31" s="35">
        <f t="shared" si="374"/>
        <v>0</v>
      </c>
      <c r="CX31" s="35">
        <f t="shared" si="374"/>
        <v>0</v>
      </c>
      <c r="CY31" s="126">
        <f t="shared" ref="CY31:DB35" si="375">HLOOKUP(CY$6,Effort_Level,12,FALSE)*(AZ31*$BJ31)</f>
        <v>0</v>
      </c>
      <c r="CZ31" s="126">
        <f t="shared" si="375"/>
        <v>0</v>
      </c>
      <c r="DA31" s="126">
        <f t="shared" si="375"/>
        <v>0</v>
      </c>
      <c r="DB31" s="126">
        <f t="shared" si="375"/>
        <v>0</v>
      </c>
      <c r="DC31" s="35">
        <f t="shared" ref="DC31:DF35" si="376">HLOOKUP(DC$6,Effort_Level,13,FALSE)*(BD31*$BJ31)</f>
        <v>0</v>
      </c>
      <c r="DD31" s="35">
        <f t="shared" si="376"/>
        <v>0</v>
      </c>
      <c r="DE31" s="35">
        <f t="shared" si="376"/>
        <v>0</v>
      </c>
      <c r="DF31" s="35">
        <f t="shared" si="376"/>
        <v>0</v>
      </c>
      <c r="DG31" s="5">
        <f>SUM(BK31:DF31)</f>
        <v>0</v>
      </c>
    </row>
    <row r="32" spans="1:111" s="56" customFormat="1" ht="12.75" customHeight="1" x14ac:dyDescent="0.2">
      <c r="A32" s="449" t="s">
        <v>278</v>
      </c>
      <c r="B32" s="450"/>
      <c r="C32" s="450"/>
      <c r="D32" s="450"/>
      <c r="E32" s="450"/>
      <c r="F32" s="450"/>
      <c r="G32" s="450"/>
      <c r="H32" s="450"/>
      <c r="I32" s="450"/>
      <c r="J32" s="451"/>
      <c r="K32" s="136" t="s">
        <v>32</v>
      </c>
      <c r="L32" s="41"/>
      <c r="M32" s="41"/>
      <c r="N32" s="41"/>
      <c r="O32" s="41"/>
      <c r="P32" s="42"/>
      <c r="Q32" s="42"/>
      <c r="R32" s="42"/>
      <c r="S32" s="42"/>
      <c r="T32" s="41"/>
      <c r="U32" s="41"/>
      <c r="V32" s="41"/>
      <c r="W32" s="41"/>
      <c r="X32" s="42"/>
      <c r="Y32" s="42"/>
      <c r="Z32" s="42"/>
      <c r="AA32" s="42"/>
      <c r="AB32" s="41"/>
      <c r="AC32" s="41"/>
      <c r="AD32" s="41"/>
      <c r="AE32" s="41"/>
      <c r="AF32" s="42"/>
      <c r="AG32" s="42"/>
      <c r="AH32" s="42"/>
      <c r="AI32" s="42"/>
      <c r="AJ32" s="41"/>
      <c r="AK32" s="41"/>
      <c r="AL32" s="41"/>
      <c r="AM32" s="41"/>
      <c r="AN32" s="42"/>
      <c r="AO32" s="42"/>
      <c r="AP32" s="42"/>
      <c r="AQ32" s="42"/>
      <c r="AR32" s="41"/>
      <c r="AS32" s="41"/>
      <c r="AT32" s="41"/>
      <c r="AU32" s="41"/>
      <c r="AV32" s="42"/>
      <c r="AW32" s="42"/>
      <c r="AX32" s="42"/>
      <c r="AY32" s="42"/>
      <c r="AZ32" s="41"/>
      <c r="BA32" s="41"/>
      <c r="BB32" s="41"/>
      <c r="BC32" s="41"/>
      <c r="BD32" s="42"/>
      <c r="BE32" s="42"/>
      <c r="BF32" s="42"/>
      <c r="BG32" s="42"/>
      <c r="BH32" s="285">
        <f>SUM(L32:BG32)</f>
        <v>0</v>
      </c>
      <c r="BI32" s="12"/>
      <c r="BJ32" s="38">
        <f>VLOOKUP(K32,[0]!Factor_Range,2,FALSE)</f>
        <v>1</v>
      </c>
      <c r="BK32" s="126">
        <f t="shared" si="365"/>
        <v>0</v>
      </c>
      <c r="BL32" s="126">
        <f t="shared" si="365"/>
        <v>0</v>
      </c>
      <c r="BM32" s="126">
        <f t="shared" si="365"/>
        <v>0</v>
      </c>
      <c r="BN32" s="126">
        <f t="shared" si="365"/>
        <v>0</v>
      </c>
      <c r="BO32" s="35">
        <f t="shared" si="366"/>
        <v>0</v>
      </c>
      <c r="BP32" s="35">
        <f t="shared" si="366"/>
        <v>0</v>
      </c>
      <c r="BQ32" s="35">
        <f t="shared" si="366"/>
        <v>0</v>
      </c>
      <c r="BR32" s="35">
        <f t="shared" si="366"/>
        <v>0</v>
      </c>
      <c r="BS32" s="126">
        <f t="shared" si="367"/>
        <v>0</v>
      </c>
      <c r="BT32" s="126">
        <f t="shared" si="367"/>
        <v>0</v>
      </c>
      <c r="BU32" s="126">
        <f t="shared" si="367"/>
        <v>0</v>
      </c>
      <c r="BV32" s="126">
        <f t="shared" si="367"/>
        <v>0</v>
      </c>
      <c r="BW32" s="35">
        <f t="shared" si="368"/>
        <v>0</v>
      </c>
      <c r="BX32" s="35">
        <f t="shared" si="368"/>
        <v>0</v>
      </c>
      <c r="BY32" s="35">
        <f t="shared" si="368"/>
        <v>0</v>
      </c>
      <c r="BZ32" s="35">
        <f t="shared" si="368"/>
        <v>0</v>
      </c>
      <c r="CA32" s="126">
        <f t="shared" si="369"/>
        <v>0</v>
      </c>
      <c r="CB32" s="126">
        <f t="shared" si="369"/>
        <v>0</v>
      </c>
      <c r="CC32" s="126">
        <f t="shared" si="369"/>
        <v>0</v>
      </c>
      <c r="CD32" s="126">
        <f t="shared" si="369"/>
        <v>0</v>
      </c>
      <c r="CE32" s="35">
        <f t="shared" si="370"/>
        <v>0</v>
      </c>
      <c r="CF32" s="35">
        <f t="shared" si="370"/>
        <v>0</v>
      </c>
      <c r="CG32" s="35">
        <f t="shared" si="370"/>
        <v>0</v>
      </c>
      <c r="CH32" s="35">
        <f t="shared" si="370"/>
        <v>0</v>
      </c>
      <c r="CI32" s="126">
        <f t="shared" si="371"/>
        <v>0</v>
      </c>
      <c r="CJ32" s="126">
        <f t="shared" si="371"/>
        <v>0</v>
      </c>
      <c r="CK32" s="126">
        <f t="shared" si="371"/>
        <v>0</v>
      </c>
      <c r="CL32" s="126">
        <f t="shared" si="371"/>
        <v>0</v>
      </c>
      <c r="CM32" s="35">
        <f t="shared" si="372"/>
        <v>0</v>
      </c>
      <c r="CN32" s="35">
        <f t="shared" si="372"/>
        <v>0</v>
      </c>
      <c r="CO32" s="35">
        <f t="shared" si="372"/>
        <v>0</v>
      </c>
      <c r="CP32" s="35">
        <f t="shared" si="372"/>
        <v>0</v>
      </c>
      <c r="CQ32" s="126">
        <f t="shared" si="373"/>
        <v>0</v>
      </c>
      <c r="CR32" s="126">
        <f t="shared" si="373"/>
        <v>0</v>
      </c>
      <c r="CS32" s="126">
        <f t="shared" si="373"/>
        <v>0</v>
      </c>
      <c r="CT32" s="126">
        <f t="shared" si="373"/>
        <v>0</v>
      </c>
      <c r="CU32" s="35">
        <f t="shared" si="374"/>
        <v>0</v>
      </c>
      <c r="CV32" s="35">
        <f t="shared" si="374"/>
        <v>0</v>
      </c>
      <c r="CW32" s="35">
        <f t="shared" si="374"/>
        <v>0</v>
      </c>
      <c r="CX32" s="35">
        <f t="shared" si="374"/>
        <v>0</v>
      </c>
      <c r="CY32" s="126">
        <f t="shared" si="375"/>
        <v>0</v>
      </c>
      <c r="CZ32" s="126">
        <f t="shared" si="375"/>
        <v>0</v>
      </c>
      <c r="DA32" s="126">
        <f t="shared" si="375"/>
        <v>0</v>
      </c>
      <c r="DB32" s="126">
        <f t="shared" si="375"/>
        <v>0</v>
      </c>
      <c r="DC32" s="35">
        <f t="shared" si="376"/>
        <v>0</v>
      </c>
      <c r="DD32" s="35">
        <f t="shared" si="376"/>
        <v>0</v>
      </c>
      <c r="DE32" s="35">
        <f t="shared" si="376"/>
        <v>0</v>
      </c>
      <c r="DF32" s="35">
        <f t="shared" si="376"/>
        <v>0</v>
      </c>
      <c r="DG32" s="5">
        <f>SUM(BK32:DF32)</f>
        <v>0</v>
      </c>
    </row>
    <row r="33" spans="1:111" s="56" customFormat="1" ht="12.75" customHeight="1" x14ac:dyDescent="0.2">
      <c r="A33" s="449"/>
      <c r="B33" s="450"/>
      <c r="C33" s="450"/>
      <c r="D33" s="450"/>
      <c r="E33" s="450"/>
      <c r="F33" s="450"/>
      <c r="G33" s="450"/>
      <c r="H33" s="450"/>
      <c r="I33" s="450"/>
      <c r="J33" s="451"/>
      <c r="K33" s="136" t="s">
        <v>32</v>
      </c>
      <c r="L33" s="41"/>
      <c r="M33" s="41"/>
      <c r="N33" s="41"/>
      <c r="O33" s="41"/>
      <c r="P33" s="42"/>
      <c r="Q33" s="42"/>
      <c r="R33" s="42"/>
      <c r="S33" s="42"/>
      <c r="T33" s="41"/>
      <c r="U33" s="41"/>
      <c r="V33" s="41"/>
      <c r="W33" s="41"/>
      <c r="X33" s="42"/>
      <c r="Y33" s="42"/>
      <c r="Z33" s="42"/>
      <c r="AA33" s="42"/>
      <c r="AB33" s="41"/>
      <c r="AC33" s="41"/>
      <c r="AD33" s="41"/>
      <c r="AE33" s="41"/>
      <c r="AF33" s="42"/>
      <c r="AG33" s="42"/>
      <c r="AH33" s="42"/>
      <c r="AI33" s="42"/>
      <c r="AJ33" s="41"/>
      <c r="AK33" s="41"/>
      <c r="AL33" s="41"/>
      <c r="AM33" s="41"/>
      <c r="AN33" s="42"/>
      <c r="AO33" s="42"/>
      <c r="AP33" s="42"/>
      <c r="AQ33" s="42"/>
      <c r="AR33" s="41"/>
      <c r="AS33" s="41"/>
      <c r="AT33" s="41"/>
      <c r="AU33" s="41"/>
      <c r="AV33" s="42"/>
      <c r="AW33" s="42"/>
      <c r="AX33" s="42"/>
      <c r="AY33" s="42"/>
      <c r="AZ33" s="41"/>
      <c r="BA33" s="41"/>
      <c r="BB33" s="41"/>
      <c r="BC33" s="41"/>
      <c r="BD33" s="42"/>
      <c r="BE33" s="42"/>
      <c r="BF33" s="42"/>
      <c r="BG33" s="42"/>
      <c r="BH33" s="285">
        <f>SUM(L33:BG33)</f>
        <v>0</v>
      </c>
      <c r="BI33" s="12"/>
      <c r="BJ33" s="38">
        <f>VLOOKUP(K33,[0]!Factor_Range,2,FALSE)</f>
        <v>1</v>
      </c>
      <c r="BK33" s="126">
        <f t="shared" si="365"/>
        <v>0</v>
      </c>
      <c r="BL33" s="126">
        <f t="shared" si="365"/>
        <v>0</v>
      </c>
      <c r="BM33" s="126">
        <f t="shared" si="365"/>
        <v>0</v>
      </c>
      <c r="BN33" s="126">
        <f t="shared" si="365"/>
        <v>0</v>
      </c>
      <c r="BO33" s="35">
        <f t="shared" si="366"/>
        <v>0</v>
      </c>
      <c r="BP33" s="35">
        <f t="shared" si="366"/>
        <v>0</v>
      </c>
      <c r="BQ33" s="35">
        <f t="shared" si="366"/>
        <v>0</v>
      </c>
      <c r="BR33" s="35">
        <f t="shared" si="366"/>
        <v>0</v>
      </c>
      <c r="BS33" s="126">
        <f t="shared" si="367"/>
        <v>0</v>
      </c>
      <c r="BT33" s="126">
        <f t="shared" si="367"/>
        <v>0</v>
      </c>
      <c r="BU33" s="126">
        <f t="shared" si="367"/>
        <v>0</v>
      </c>
      <c r="BV33" s="126">
        <f t="shared" si="367"/>
        <v>0</v>
      </c>
      <c r="BW33" s="35">
        <f t="shared" si="368"/>
        <v>0</v>
      </c>
      <c r="BX33" s="35">
        <f t="shared" si="368"/>
        <v>0</v>
      </c>
      <c r="BY33" s="35">
        <f t="shared" si="368"/>
        <v>0</v>
      </c>
      <c r="BZ33" s="35">
        <f t="shared" si="368"/>
        <v>0</v>
      </c>
      <c r="CA33" s="126">
        <f t="shared" si="369"/>
        <v>0</v>
      </c>
      <c r="CB33" s="126">
        <f t="shared" si="369"/>
        <v>0</v>
      </c>
      <c r="CC33" s="126">
        <f t="shared" si="369"/>
        <v>0</v>
      </c>
      <c r="CD33" s="126">
        <f t="shared" si="369"/>
        <v>0</v>
      </c>
      <c r="CE33" s="35">
        <f t="shared" si="370"/>
        <v>0</v>
      </c>
      <c r="CF33" s="35">
        <f t="shared" si="370"/>
        <v>0</v>
      </c>
      <c r="CG33" s="35">
        <f t="shared" si="370"/>
        <v>0</v>
      </c>
      <c r="CH33" s="35">
        <f t="shared" si="370"/>
        <v>0</v>
      </c>
      <c r="CI33" s="126">
        <f t="shared" si="371"/>
        <v>0</v>
      </c>
      <c r="CJ33" s="126">
        <f t="shared" si="371"/>
        <v>0</v>
      </c>
      <c r="CK33" s="126">
        <f t="shared" si="371"/>
        <v>0</v>
      </c>
      <c r="CL33" s="126">
        <f t="shared" si="371"/>
        <v>0</v>
      </c>
      <c r="CM33" s="35">
        <f t="shared" si="372"/>
        <v>0</v>
      </c>
      <c r="CN33" s="35">
        <f t="shared" si="372"/>
        <v>0</v>
      </c>
      <c r="CO33" s="35">
        <f t="shared" si="372"/>
        <v>0</v>
      </c>
      <c r="CP33" s="35">
        <f t="shared" si="372"/>
        <v>0</v>
      </c>
      <c r="CQ33" s="126">
        <f t="shared" si="373"/>
        <v>0</v>
      </c>
      <c r="CR33" s="126">
        <f t="shared" si="373"/>
        <v>0</v>
      </c>
      <c r="CS33" s="126">
        <f t="shared" si="373"/>
        <v>0</v>
      </c>
      <c r="CT33" s="126">
        <f t="shared" si="373"/>
        <v>0</v>
      </c>
      <c r="CU33" s="35">
        <f t="shared" si="374"/>
        <v>0</v>
      </c>
      <c r="CV33" s="35">
        <f t="shared" si="374"/>
        <v>0</v>
      </c>
      <c r="CW33" s="35">
        <f t="shared" si="374"/>
        <v>0</v>
      </c>
      <c r="CX33" s="35">
        <f t="shared" si="374"/>
        <v>0</v>
      </c>
      <c r="CY33" s="126">
        <f t="shared" si="375"/>
        <v>0</v>
      </c>
      <c r="CZ33" s="126">
        <f t="shared" si="375"/>
        <v>0</v>
      </c>
      <c r="DA33" s="126">
        <f t="shared" si="375"/>
        <v>0</v>
      </c>
      <c r="DB33" s="126">
        <f t="shared" si="375"/>
        <v>0</v>
      </c>
      <c r="DC33" s="35">
        <f t="shared" si="376"/>
        <v>0</v>
      </c>
      <c r="DD33" s="35">
        <f t="shared" si="376"/>
        <v>0</v>
      </c>
      <c r="DE33" s="35">
        <f t="shared" si="376"/>
        <v>0</v>
      </c>
      <c r="DF33" s="35">
        <f t="shared" si="376"/>
        <v>0</v>
      </c>
      <c r="DG33" s="5">
        <f>SUM(BK33:DF33)</f>
        <v>0</v>
      </c>
    </row>
    <row r="34" spans="1:111" s="56" customFormat="1" ht="12.75" customHeight="1" x14ac:dyDescent="0.2">
      <c r="A34" s="449"/>
      <c r="B34" s="450"/>
      <c r="C34" s="450"/>
      <c r="D34" s="450"/>
      <c r="E34" s="450"/>
      <c r="F34" s="450"/>
      <c r="G34" s="450"/>
      <c r="H34" s="450"/>
      <c r="I34" s="450"/>
      <c r="J34" s="451"/>
      <c r="K34" s="136" t="s">
        <v>32</v>
      </c>
      <c r="L34" s="41"/>
      <c r="M34" s="41"/>
      <c r="N34" s="41"/>
      <c r="O34" s="41"/>
      <c r="P34" s="42"/>
      <c r="Q34" s="42"/>
      <c r="R34" s="42"/>
      <c r="S34" s="42"/>
      <c r="T34" s="41"/>
      <c r="U34" s="41"/>
      <c r="V34" s="41"/>
      <c r="W34" s="41"/>
      <c r="X34" s="42"/>
      <c r="Y34" s="42"/>
      <c r="Z34" s="42"/>
      <c r="AA34" s="42"/>
      <c r="AB34" s="41"/>
      <c r="AC34" s="41"/>
      <c r="AD34" s="41"/>
      <c r="AE34" s="41"/>
      <c r="AF34" s="42"/>
      <c r="AG34" s="42"/>
      <c r="AH34" s="42"/>
      <c r="AI34" s="42"/>
      <c r="AJ34" s="41"/>
      <c r="AK34" s="41"/>
      <c r="AL34" s="41"/>
      <c r="AM34" s="41"/>
      <c r="AN34" s="42"/>
      <c r="AO34" s="42"/>
      <c r="AP34" s="42"/>
      <c r="AQ34" s="42"/>
      <c r="AR34" s="41"/>
      <c r="AS34" s="41"/>
      <c r="AT34" s="41"/>
      <c r="AU34" s="41"/>
      <c r="AV34" s="42"/>
      <c r="AW34" s="42"/>
      <c r="AX34" s="42"/>
      <c r="AY34" s="42"/>
      <c r="AZ34" s="41"/>
      <c r="BA34" s="41"/>
      <c r="BB34" s="41"/>
      <c r="BC34" s="41"/>
      <c r="BD34" s="42"/>
      <c r="BE34" s="42"/>
      <c r="BF34" s="42"/>
      <c r="BG34" s="42"/>
      <c r="BH34" s="285">
        <f>SUM(L34:BG34)</f>
        <v>0</v>
      </c>
      <c r="BI34" s="12"/>
      <c r="BJ34" s="38">
        <f>VLOOKUP(K34,[0]!Factor_Range,2,FALSE)</f>
        <v>1</v>
      </c>
      <c r="BK34" s="126">
        <f t="shared" si="365"/>
        <v>0</v>
      </c>
      <c r="BL34" s="126">
        <f t="shared" si="365"/>
        <v>0</v>
      </c>
      <c r="BM34" s="126">
        <f t="shared" si="365"/>
        <v>0</v>
      </c>
      <c r="BN34" s="126">
        <f t="shared" si="365"/>
        <v>0</v>
      </c>
      <c r="BO34" s="35">
        <f t="shared" si="366"/>
        <v>0</v>
      </c>
      <c r="BP34" s="35">
        <f t="shared" si="366"/>
        <v>0</v>
      </c>
      <c r="BQ34" s="35">
        <f t="shared" si="366"/>
        <v>0</v>
      </c>
      <c r="BR34" s="35">
        <f t="shared" si="366"/>
        <v>0</v>
      </c>
      <c r="BS34" s="126">
        <f t="shared" si="367"/>
        <v>0</v>
      </c>
      <c r="BT34" s="126">
        <f t="shared" si="367"/>
        <v>0</v>
      </c>
      <c r="BU34" s="126">
        <f t="shared" si="367"/>
        <v>0</v>
      </c>
      <c r="BV34" s="126">
        <f t="shared" si="367"/>
        <v>0</v>
      </c>
      <c r="BW34" s="35">
        <f t="shared" si="368"/>
        <v>0</v>
      </c>
      <c r="BX34" s="35">
        <f t="shared" si="368"/>
        <v>0</v>
      </c>
      <c r="BY34" s="35">
        <f t="shared" si="368"/>
        <v>0</v>
      </c>
      <c r="BZ34" s="35">
        <f t="shared" si="368"/>
        <v>0</v>
      </c>
      <c r="CA34" s="126">
        <f t="shared" si="369"/>
        <v>0</v>
      </c>
      <c r="CB34" s="126">
        <f t="shared" si="369"/>
        <v>0</v>
      </c>
      <c r="CC34" s="126">
        <f t="shared" si="369"/>
        <v>0</v>
      </c>
      <c r="CD34" s="126">
        <f t="shared" si="369"/>
        <v>0</v>
      </c>
      <c r="CE34" s="35">
        <f t="shared" si="370"/>
        <v>0</v>
      </c>
      <c r="CF34" s="35">
        <f t="shared" si="370"/>
        <v>0</v>
      </c>
      <c r="CG34" s="35">
        <f t="shared" si="370"/>
        <v>0</v>
      </c>
      <c r="CH34" s="35">
        <f t="shared" si="370"/>
        <v>0</v>
      </c>
      <c r="CI34" s="126">
        <f t="shared" si="371"/>
        <v>0</v>
      </c>
      <c r="CJ34" s="126">
        <f t="shared" si="371"/>
        <v>0</v>
      </c>
      <c r="CK34" s="126">
        <f t="shared" si="371"/>
        <v>0</v>
      </c>
      <c r="CL34" s="126">
        <f t="shared" si="371"/>
        <v>0</v>
      </c>
      <c r="CM34" s="35">
        <f t="shared" si="372"/>
        <v>0</v>
      </c>
      <c r="CN34" s="35">
        <f t="shared" si="372"/>
        <v>0</v>
      </c>
      <c r="CO34" s="35">
        <f t="shared" si="372"/>
        <v>0</v>
      </c>
      <c r="CP34" s="35">
        <f t="shared" si="372"/>
        <v>0</v>
      </c>
      <c r="CQ34" s="126">
        <f t="shared" si="373"/>
        <v>0</v>
      </c>
      <c r="CR34" s="126">
        <f t="shared" si="373"/>
        <v>0</v>
      </c>
      <c r="CS34" s="126">
        <f t="shared" si="373"/>
        <v>0</v>
      </c>
      <c r="CT34" s="126">
        <f t="shared" si="373"/>
        <v>0</v>
      </c>
      <c r="CU34" s="35">
        <f t="shared" si="374"/>
        <v>0</v>
      </c>
      <c r="CV34" s="35">
        <f t="shared" si="374"/>
        <v>0</v>
      </c>
      <c r="CW34" s="35">
        <f t="shared" si="374"/>
        <v>0</v>
      </c>
      <c r="CX34" s="35">
        <f t="shared" si="374"/>
        <v>0</v>
      </c>
      <c r="CY34" s="126">
        <f t="shared" si="375"/>
        <v>0</v>
      </c>
      <c r="CZ34" s="126">
        <f t="shared" si="375"/>
        <v>0</v>
      </c>
      <c r="DA34" s="126">
        <f t="shared" si="375"/>
        <v>0</v>
      </c>
      <c r="DB34" s="126">
        <f t="shared" si="375"/>
        <v>0</v>
      </c>
      <c r="DC34" s="35">
        <f t="shared" si="376"/>
        <v>0</v>
      </c>
      <c r="DD34" s="35">
        <f t="shared" si="376"/>
        <v>0</v>
      </c>
      <c r="DE34" s="35">
        <f t="shared" si="376"/>
        <v>0</v>
      </c>
      <c r="DF34" s="35">
        <f t="shared" si="376"/>
        <v>0</v>
      </c>
      <c r="DG34" s="5">
        <f>SUM(BK34:DF34)</f>
        <v>0</v>
      </c>
    </row>
    <row r="35" spans="1:111" s="56" customFormat="1" ht="12.75" customHeight="1" x14ac:dyDescent="0.2">
      <c r="A35" s="449"/>
      <c r="B35" s="450"/>
      <c r="C35" s="450"/>
      <c r="D35" s="450"/>
      <c r="E35" s="450"/>
      <c r="F35" s="450"/>
      <c r="G35" s="450"/>
      <c r="H35" s="450"/>
      <c r="I35" s="450"/>
      <c r="J35" s="451"/>
      <c r="K35" s="136" t="s">
        <v>32</v>
      </c>
      <c r="L35" s="41"/>
      <c r="M35" s="41"/>
      <c r="N35" s="41"/>
      <c r="O35" s="41"/>
      <c r="P35" s="42"/>
      <c r="Q35" s="42"/>
      <c r="R35" s="42"/>
      <c r="S35" s="42"/>
      <c r="T35" s="41"/>
      <c r="U35" s="41"/>
      <c r="V35" s="41"/>
      <c r="W35" s="41"/>
      <c r="X35" s="42"/>
      <c r="Y35" s="42"/>
      <c r="Z35" s="42"/>
      <c r="AA35" s="42"/>
      <c r="AB35" s="41"/>
      <c r="AC35" s="41"/>
      <c r="AD35" s="41"/>
      <c r="AE35" s="41"/>
      <c r="AF35" s="42"/>
      <c r="AG35" s="42"/>
      <c r="AH35" s="42"/>
      <c r="AI35" s="42"/>
      <c r="AJ35" s="41"/>
      <c r="AK35" s="41"/>
      <c r="AL35" s="41"/>
      <c r="AM35" s="41"/>
      <c r="AN35" s="42"/>
      <c r="AO35" s="42"/>
      <c r="AP35" s="42"/>
      <c r="AQ35" s="42"/>
      <c r="AR35" s="41"/>
      <c r="AS35" s="41"/>
      <c r="AT35" s="41"/>
      <c r="AU35" s="41"/>
      <c r="AV35" s="42"/>
      <c r="AW35" s="42"/>
      <c r="AX35" s="42"/>
      <c r="AY35" s="42"/>
      <c r="AZ35" s="41"/>
      <c r="BA35" s="41"/>
      <c r="BB35" s="41"/>
      <c r="BC35" s="41"/>
      <c r="BD35" s="42"/>
      <c r="BE35" s="42"/>
      <c r="BF35" s="42"/>
      <c r="BG35" s="42"/>
      <c r="BH35" s="285">
        <f>SUM(L35:BG35)</f>
        <v>0</v>
      </c>
      <c r="BI35" s="12"/>
      <c r="BJ35" s="38">
        <f>VLOOKUP(K35,[0]!Factor_Range,2,FALSE)</f>
        <v>1</v>
      </c>
      <c r="BK35" s="125">
        <f t="shared" si="365"/>
        <v>0</v>
      </c>
      <c r="BL35" s="125">
        <f t="shared" si="365"/>
        <v>0</v>
      </c>
      <c r="BM35" s="125">
        <f t="shared" si="365"/>
        <v>0</v>
      </c>
      <c r="BN35" s="125">
        <f t="shared" si="365"/>
        <v>0</v>
      </c>
      <c r="BO35" s="35">
        <f t="shared" si="366"/>
        <v>0</v>
      </c>
      <c r="BP35" s="35">
        <f t="shared" si="366"/>
        <v>0</v>
      </c>
      <c r="BQ35" s="35">
        <f t="shared" si="366"/>
        <v>0</v>
      </c>
      <c r="BR35" s="35">
        <f t="shared" si="366"/>
        <v>0</v>
      </c>
      <c r="BS35" s="125">
        <f t="shared" si="367"/>
        <v>0</v>
      </c>
      <c r="BT35" s="125">
        <f t="shared" si="367"/>
        <v>0</v>
      </c>
      <c r="BU35" s="125">
        <f t="shared" si="367"/>
        <v>0</v>
      </c>
      <c r="BV35" s="125">
        <f t="shared" si="367"/>
        <v>0</v>
      </c>
      <c r="BW35" s="35">
        <f t="shared" si="368"/>
        <v>0</v>
      </c>
      <c r="BX35" s="35">
        <f t="shared" si="368"/>
        <v>0</v>
      </c>
      <c r="BY35" s="35">
        <f t="shared" si="368"/>
        <v>0</v>
      </c>
      <c r="BZ35" s="35">
        <f t="shared" si="368"/>
        <v>0</v>
      </c>
      <c r="CA35" s="125">
        <f t="shared" si="369"/>
        <v>0</v>
      </c>
      <c r="CB35" s="125">
        <f t="shared" si="369"/>
        <v>0</v>
      </c>
      <c r="CC35" s="125">
        <f t="shared" si="369"/>
        <v>0</v>
      </c>
      <c r="CD35" s="125">
        <f t="shared" si="369"/>
        <v>0</v>
      </c>
      <c r="CE35" s="35">
        <f t="shared" si="370"/>
        <v>0</v>
      </c>
      <c r="CF35" s="35">
        <f t="shared" si="370"/>
        <v>0</v>
      </c>
      <c r="CG35" s="35">
        <f t="shared" si="370"/>
        <v>0</v>
      </c>
      <c r="CH35" s="35">
        <f t="shared" si="370"/>
        <v>0</v>
      </c>
      <c r="CI35" s="125">
        <f t="shared" si="371"/>
        <v>0</v>
      </c>
      <c r="CJ35" s="125">
        <f t="shared" si="371"/>
        <v>0</v>
      </c>
      <c r="CK35" s="125">
        <f t="shared" si="371"/>
        <v>0</v>
      </c>
      <c r="CL35" s="125">
        <f t="shared" si="371"/>
        <v>0</v>
      </c>
      <c r="CM35" s="35">
        <f t="shared" si="372"/>
        <v>0</v>
      </c>
      <c r="CN35" s="35">
        <f t="shared" si="372"/>
        <v>0</v>
      </c>
      <c r="CO35" s="35">
        <f t="shared" si="372"/>
        <v>0</v>
      </c>
      <c r="CP35" s="35">
        <f t="shared" si="372"/>
        <v>0</v>
      </c>
      <c r="CQ35" s="125">
        <f t="shared" si="373"/>
        <v>0</v>
      </c>
      <c r="CR35" s="125">
        <f t="shared" si="373"/>
        <v>0</v>
      </c>
      <c r="CS35" s="125">
        <f t="shared" si="373"/>
        <v>0</v>
      </c>
      <c r="CT35" s="125">
        <f t="shared" si="373"/>
        <v>0</v>
      </c>
      <c r="CU35" s="35">
        <f t="shared" si="374"/>
        <v>0</v>
      </c>
      <c r="CV35" s="35">
        <f t="shared" si="374"/>
        <v>0</v>
      </c>
      <c r="CW35" s="35">
        <f t="shared" si="374"/>
        <v>0</v>
      </c>
      <c r="CX35" s="35">
        <f t="shared" si="374"/>
        <v>0</v>
      </c>
      <c r="CY35" s="125">
        <f t="shared" si="375"/>
        <v>0</v>
      </c>
      <c r="CZ35" s="125">
        <f t="shared" si="375"/>
        <v>0</v>
      </c>
      <c r="DA35" s="125">
        <f t="shared" si="375"/>
        <v>0</v>
      </c>
      <c r="DB35" s="125">
        <f t="shared" si="375"/>
        <v>0</v>
      </c>
      <c r="DC35" s="35">
        <f t="shared" si="376"/>
        <v>0</v>
      </c>
      <c r="DD35" s="35">
        <f t="shared" si="376"/>
        <v>0</v>
      </c>
      <c r="DE35" s="35">
        <f t="shared" si="376"/>
        <v>0</v>
      </c>
      <c r="DF35" s="35">
        <f t="shared" si="376"/>
        <v>0</v>
      </c>
      <c r="DG35" s="5">
        <f>SUM(BK35:DF35)</f>
        <v>0</v>
      </c>
    </row>
    <row r="36" spans="1:111" s="57" customFormat="1" ht="12.75" customHeight="1" x14ac:dyDescent="0.2">
      <c r="A36" s="471" t="s">
        <v>41</v>
      </c>
      <c r="B36" s="472"/>
      <c r="C36" s="472"/>
      <c r="D36" s="472"/>
      <c r="E36" s="472"/>
      <c r="F36" s="472"/>
      <c r="G36" s="472"/>
      <c r="H36" s="472"/>
      <c r="I36" s="472"/>
      <c r="J36" s="473"/>
      <c r="K36" s="286"/>
      <c r="L36" s="280">
        <f t="shared" ref="L36:AQ36" si="377">SUM(L35:L35)</f>
        <v>0</v>
      </c>
      <c r="M36" s="280">
        <f t="shared" si="377"/>
        <v>0</v>
      </c>
      <c r="N36" s="280">
        <f t="shared" si="377"/>
        <v>0</v>
      </c>
      <c r="O36" s="280">
        <f t="shared" si="377"/>
        <v>0</v>
      </c>
      <c r="P36" s="281">
        <f t="shared" si="377"/>
        <v>0</v>
      </c>
      <c r="Q36" s="281">
        <f t="shared" si="377"/>
        <v>0</v>
      </c>
      <c r="R36" s="281">
        <f t="shared" si="377"/>
        <v>0</v>
      </c>
      <c r="S36" s="281">
        <f t="shared" si="377"/>
        <v>0</v>
      </c>
      <c r="T36" s="280">
        <f t="shared" si="377"/>
        <v>0</v>
      </c>
      <c r="U36" s="280">
        <f t="shared" si="377"/>
        <v>0</v>
      </c>
      <c r="V36" s="280">
        <f t="shared" si="377"/>
        <v>0</v>
      </c>
      <c r="W36" s="280">
        <f t="shared" si="377"/>
        <v>0</v>
      </c>
      <c r="X36" s="281">
        <f t="shared" si="377"/>
        <v>0</v>
      </c>
      <c r="Y36" s="281">
        <f t="shared" si="377"/>
        <v>0</v>
      </c>
      <c r="Z36" s="281">
        <f t="shared" si="377"/>
        <v>0</v>
      </c>
      <c r="AA36" s="281">
        <f t="shared" si="377"/>
        <v>0</v>
      </c>
      <c r="AB36" s="280">
        <f t="shared" si="377"/>
        <v>0</v>
      </c>
      <c r="AC36" s="280">
        <f t="shared" si="377"/>
        <v>0</v>
      </c>
      <c r="AD36" s="280">
        <f t="shared" si="377"/>
        <v>0</v>
      </c>
      <c r="AE36" s="280">
        <f t="shared" si="377"/>
        <v>0</v>
      </c>
      <c r="AF36" s="281">
        <f t="shared" si="377"/>
        <v>0</v>
      </c>
      <c r="AG36" s="281">
        <f t="shared" si="377"/>
        <v>0</v>
      </c>
      <c r="AH36" s="281">
        <f t="shared" si="377"/>
        <v>0</v>
      </c>
      <c r="AI36" s="281">
        <f t="shared" si="377"/>
        <v>0</v>
      </c>
      <c r="AJ36" s="280">
        <f t="shared" si="377"/>
        <v>0</v>
      </c>
      <c r="AK36" s="280">
        <f t="shared" si="377"/>
        <v>0</v>
      </c>
      <c r="AL36" s="280">
        <f t="shared" si="377"/>
        <v>0</v>
      </c>
      <c r="AM36" s="280">
        <f t="shared" si="377"/>
        <v>0</v>
      </c>
      <c r="AN36" s="281">
        <f t="shared" si="377"/>
        <v>0</v>
      </c>
      <c r="AO36" s="281">
        <f t="shared" si="377"/>
        <v>0</v>
      </c>
      <c r="AP36" s="281">
        <f t="shared" si="377"/>
        <v>0</v>
      </c>
      <c r="AQ36" s="281">
        <f t="shared" si="377"/>
        <v>0</v>
      </c>
      <c r="AR36" s="280">
        <f t="shared" ref="AR36:BH36" si="378">SUM(AR35:AR35)</f>
        <v>0</v>
      </c>
      <c r="AS36" s="280">
        <f t="shared" si="378"/>
        <v>0</v>
      </c>
      <c r="AT36" s="280">
        <f t="shared" si="378"/>
        <v>0</v>
      </c>
      <c r="AU36" s="280">
        <f t="shared" si="378"/>
        <v>0</v>
      </c>
      <c r="AV36" s="281">
        <f t="shared" si="378"/>
        <v>0</v>
      </c>
      <c r="AW36" s="281">
        <f t="shared" si="378"/>
        <v>0</v>
      </c>
      <c r="AX36" s="281">
        <f t="shared" si="378"/>
        <v>0</v>
      </c>
      <c r="AY36" s="281">
        <f t="shared" si="378"/>
        <v>0</v>
      </c>
      <c r="AZ36" s="280">
        <f t="shared" si="378"/>
        <v>0</v>
      </c>
      <c r="BA36" s="280">
        <f t="shared" si="378"/>
        <v>0</v>
      </c>
      <c r="BB36" s="280">
        <f t="shared" si="378"/>
        <v>0</v>
      </c>
      <c r="BC36" s="280">
        <f t="shared" si="378"/>
        <v>0</v>
      </c>
      <c r="BD36" s="281">
        <f t="shared" si="378"/>
        <v>0</v>
      </c>
      <c r="BE36" s="281">
        <f t="shared" si="378"/>
        <v>0</v>
      </c>
      <c r="BF36" s="281">
        <f t="shared" si="378"/>
        <v>0</v>
      </c>
      <c r="BG36" s="281">
        <f t="shared" si="378"/>
        <v>0</v>
      </c>
      <c r="BH36" s="281">
        <f t="shared" si="378"/>
        <v>0</v>
      </c>
      <c r="BI36" s="13"/>
      <c r="BJ36" s="39"/>
      <c r="BK36" s="27">
        <f t="shared" ref="BK36:CP36" si="379">SUM(BK35:BK35)</f>
        <v>0</v>
      </c>
      <c r="BL36" s="27">
        <f t="shared" si="379"/>
        <v>0</v>
      </c>
      <c r="BM36" s="27">
        <f t="shared" si="379"/>
        <v>0</v>
      </c>
      <c r="BN36" s="27">
        <f t="shared" si="379"/>
        <v>0</v>
      </c>
      <c r="BO36" s="33">
        <f t="shared" si="379"/>
        <v>0</v>
      </c>
      <c r="BP36" s="33">
        <f t="shared" si="379"/>
        <v>0</v>
      </c>
      <c r="BQ36" s="33">
        <f t="shared" si="379"/>
        <v>0</v>
      </c>
      <c r="BR36" s="33">
        <f t="shared" si="379"/>
        <v>0</v>
      </c>
      <c r="BS36" s="27">
        <f t="shared" si="379"/>
        <v>0</v>
      </c>
      <c r="BT36" s="27">
        <f t="shared" si="379"/>
        <v>0</v>
      </c>
      <c r="BU36" s="27">
        <f t="shared" si="379"/>
        <v>0</v>
      </c>
      <c r="BV36" s="27">
        <f t="shared" si="379"/>
        <v>0</v>
      </c>
      <c r="BW36" s="33">
        <f t="shared" si="379"/>
        <v>0</v>
      </c>
      <c r="BX36" s="33">
        <f t="shared" si="379"/>
        <v>0</v>
      </c>
      <c r="BY36" s="33">
        <f t="shared" si="379"/>
        <v>0</v>
      </c>
      <c r="BZ36" s="33">
        <f t="shared" si="379"/>
        <v>0</v>
      </c>
      <c r="CA36" s="27">
        <f t="shared" si="379"/>
        <v>0</v>
      </c>
      <c r="CB36" s="27">
        <f t="shared" si="379"/>
        <v>0</v>
      </c>
      <c r="CC36" s="27">
        <f t="shared" si="379"/>
        <v>0</v>
      </c>
      <c r="CD36" s="27">
        <f t="shared" si="379"/>
        <v>0</v>
      </c>
      <c r="CE36" s="33">
        <f t="shared" si="379"/>
        <v>0</v>
      </c>
      <c r="CF36" s="33">
        <f t="shared" si="379"/>
        <v>0</v>
      </c>
      <c r="CG36" s="33">
        <f t="shared" si="379"/>
        <v>0</v>
      </c>
      <c r="CH36" s="33">
        <f t="shared" si="379"/>
        <v>0</v>
      </c>
      <c r="CI36" s="27">
        <f t="shared" si="379"/>
        <v>0</v>
      </c>
      <c r="CJ36" s="27">
        <f t="shared" si="379"/>
        <v>0</v>
      </c>
      <c r="CK36" s="27">
        <f t="shared" si="379"/>
        <v>0</v>
      </c>
      <c r="CL36" s="27">
        <f t="shared" si="379"/>
        <v>0</v>
      </c>
      <c r="CM36" s="33">
        <f t="shared" si="379"/>
        <v>0</v>
      </c>
      <c r="CN36" s="33">
        <f t="shared" si="379"/>
        <v>0</v>
      </c>
      <c r="CO36" s="33">
        <f t="shared" si="379"/>
        <v>0</v>
      </c>
      <c r="CP36" s="33">
        <f t="shared" si="379"/>
        <v>0</v>
      </c>
      <c r="CQ36" s="27">
        <f t="shared" ref="CQ36:DG36" si="380">SUM(CQ35:CQ35)</f>
        <v>0</v>
      </c>
      <c r="CR36" s="27">
        <f t="shared" si="380"/>
        <v>0</v>
      </c>
      <c r="CS36" s="27">
        <f t="shared" si="380"/>
        <v>0</v>
      </c>
      <c r="CT36" s="27">
        <f t="shared" si="380"/>
        <v>0</v>
      </c>
      <c r="CU36" s="33">
        <f t="shared" si="380"/>
        <v>0</v>
      </c>
      <c r="CV36" s="33">
        <f t="shared" si="380"/>
        <v>0</v>
      </c>
      <c r="CW36" s="33">
        <f t="shared" si="380"/>
        <v>0</v>
      </c>
      <c r="CX36" s="33">
        <f t="shared" si="380"/>
        <v>0</v>
      </c>
      <c r="CY36" s="27">
        <f t="shared" si="380"/>
        <v>0</v>
      </c>
      <c r="CZ36" s="27">
        <f t="shared" si="380"/>
        <v>0</v>
      </c>
      <c r="DA36" s="27">
        <f t="shared" si="380"/>
        <v>0</v>
      </c>
      <c r="DB36" s="27">
        <f t="shared" si="380"/>
        <v>0</v>
      </c>
      <c r="DC36" s="33">
        <f t="shared" si="380"/>
        <v>0</v>
      </c>
      <c r="DD36" s="33">
        <f t="shared" si="380"/>
        <v>0</v>
      </c>
      <c r="DE36" s="33">
        <f t="shared" si="380"/>
        <v>0</v>
      </c>
      <c r="DF36" s="33">
        <f t="shared" si="380"/>
        <v>0</v>
      </c>
      <c r="DG36" s="8">
        <f t="shared" si="380"/>
        <v>0</v>
      </c>
    </row>
    <row r="37" spans="1:111" s="56" customFormat="1" ht="11.25" x14ac:dyDescent="0.2">
      <c r="A37" s="490"/>
      <c r="B37" s="490"/>
      <c r="C37" s="490"/>
      <c r="D37" s="490"/>
      <c r="E37" s="490"/>
      <c r="F37" s="490"/>
      <c r="G37" s="490"/>
      <c r="H37" s="490"/>
      <c r="I37" s="490"/>
      <c r="J37" s="490"/>
      <c r="K37" s="6"/>
      <c r="L37" s="128"/>
      <c r="M37" s="128"/>
      <c r="N37" s="128"/>
      <c r="O37" s="128"/>
      <c r="P37" s="129"/>
      <c r="Q37" s="129"/>
      <c r="R37" s="129"/>
      <c r="S37" s="129"/>
      <c r="T37" s="128"/>
      <c r="U37" s="128"/>
      <c r="V37" s="128"/>
      <c r="W37" s="128"/>
      <c r="X37" s="129"/>
      <c r="Y37" s="129"/>
      <c r="Z37" s="129"/>
      <c r="AA37" s="129"/>
      <c r="AB37" s="128"/>
      <c r="AC37" s="128"/>
      <c r="AD37" s="128"/>
      <c r="AE37" s="128"/>
      <c r="AF37" s="129"/>
      <c r="AG37" s="129"/>
      <c r="AH37" s="129"/>
      <c r="AI37" s="129"/>
      <c r="AJ37" s="128"/>
      <c r="AK37" s="128"/>
      <c r="AL37" s="128"/>
      <c r="AM37" s="128"/>
      <c r="AN37" s="129"/>
      <c r="AO37" s="129"/>
      <c r="AP37" s="129"/>
      <c r="AQ37" s="129"/>
      <c r="AR37" s="128"/>
      <c r="AS37" s="128"/>
      <c r="AT37" s="128"/>
      <c r="AU37" s="128"/>
      <c r="AV37" s="129"/>
      <c r="AW37" s="129"/>
      <c r="AX37" s="129"/>
      <c r="AY37" s="129"/>
      <c r="AZ37" s="128"/>
      <c r="BA37" s="128"/>
      <c r="BB37" s="128"/>
      <c r="BC37" s="128"/>
      <c r="BD37" s="129"/>
      <c r="BE37" s="129"/>
      <c r="BF37" s="129"/>
      <c r="BG37" s="129"/>
      <c r="BH37" s="129"/>
      <c r="BI37" s="12"/>
      <c r="BJ37" s="130"/>
      <c r="BK37" s="131"/>
      <c r="BL37" s="131"/>
      <c r="BM37" s="131"/>
      <c r="BN37" s="131"/>
      <c r="BO37" s="132"/>
      <c r="BP37" s="132"/>
      <c r="BQ37" s="132"/>
      <c r="BR37" s="132"/>
      <c r="BS37" s="131"/>
      <c r="BT37" s="131"/>
      <c r="BU37" s="131"/>
      <c r="BV37" s="131"/>
      <c r="BW37" s="132"/>
      <c r="BX37" s="132"/>
      <c r="BY37" s="132"/>
      <c r="BZ37" s="132"/>
      <c r="CA37" s="131"/>
      <c r="CB37" s="131"/>
      <c r="CC37" s="131"/>
      <c r="CD37" s="131"/>
      <c r="CE37" s="132"/>
      <c r="CF37" s="132"/>
      <c r="CG37" s="132"/>
      <c r="CH37" s="132"/>
      <c r="CI37" s="131"/>
      <c r="CJ37" s="131"/>
      <c r="CK37" s="131"/>
      <c r="CL37" s="131"/>
      <c r="CM37" s="132"/>
      <c r="CN37" s="132"/>
      <c r="CO37" s="132"/>
      <c r="CP37" s="132"/>
      <c r="CQ37" s="131"/>
      <c r="CR37" s="131"/>
      <c r="CS37" s="131"/>
      <c r="CT37" s="131"/>
      <c r="CU37" s="132"/>
      <c r="CV37" s="132"/>
      <c r="CW37" s="132"/>
      <c r="CX37" s="132"/>
      <c r="CY37" s="131"/>
      <c r="CZ37" s="131"/>
      <c r="DA37" s="131"/>
      <c r="DB37" s="131"/>
      <c r="DC37" s="132"/>
      <c r="DD37" s="132"/>
      <c r="DE37" s="132"/>
      <c r="DF37" s="132"/>
      <c r="DG37" s="129"/>
    </row>
    <row r="38" spans="1:111" s="57" customFormat="1" ht="12.75" customHeight="1" x14ac:dyDescent="0.2">
      <c r="A38" s="455" t="s">
        <v>38</v>
      </c>
      <c r="B38" s="455"/>
      <c r="C38" s="455"/>
      <c r="D38" s="455"/>
      <c r="E38" s="455"/>
      <c r="F38" s="455"/>
      <c r="G38" s="455"/>
      <c r="H38" s="455"/>
      <c r="I38" s="455"/>
      <c r="J38" s="455"/>
      <c r="K38" s="47"/>
      <c r="L38" s="7">
        <f t="shared" ref="L38:AQ38" si="381">L29+L36</f>
        <v>0</v>
      </c>
      <c r="M38" s="7">
        <f t="shared" si="381"/>
        <v>0</v>
      </c>
      <c r="N38" s="7">
        <f t="shared" si="381"/>
        <v>0</v>
      </c>
      <c r="O38" s="7">
        <f t="shared" si="381"/>
        <v>2</v>
      </c>
      <c r="P38" s="8">
        <f t="shared" si="381"/>
        <v>0</v>
      </c>
      <c r="Q38" s="8">
        <f t="shared" si="381"/>
        <v>0</v>
      </c>
      <c r="R38" s="8">
        <f t="shared" si="381"/>
        <v>0</v>
      </c>
      <c r="S38" s="8">
        <f t="shared" si="381"/>
        <v>0</v>
      </c>
      <c r="T38" s="7">
        <f t="shared" si="381"/>
        <v>0</v>
      </c>
      <c r="U38" s="7">
        <f t="shared" si="381"/>
        <v>0</v>
      </c>
      <c r="V38" s="7">
        <f t="shared" si="381"/>
        <v>0</v>
      </c>
      <c r="W38" s="7">
        <f t="shared" si="381"/>
        <v>0</v>
      </c>
      <c r="X38" s="8">
        <f t="shared" si="381"/>
        <v>0</v>
      </c>
      <c r="Y38" s="8">
        <f t="shared" si="381"/>
        <v>0</v>
      </c>
      <c r="Z38" s="8">
        <f t="shared" si="381"/>
        <v>0</v>
      </c>
      <c r="AA38" s="8">
        <f t="shared" si="381"/>
        <v>0</v>
      </c>
      <c r="AB38" s="7">
        <f t="shared" si="381"/>
        <v>0</v>
      </c>
      <c r="AC38" s="7">
        <f t="shared" si="381"/>
        <v>0</v>
      </c>
      <c r="AD38" s="7">
        <f t="shared" si="381"/>
        <v>0</v>
      </c>
      <c r="AE38" s="7">
        <f t="shared" si="381"/>
        <v>0</v>
      </c>
      <c r="AF38" s="8">
        <f t="shared" si="381"/>
        <v>0</v>
      </c>
      <c r="AG38" s="8">
        <f t="shared" si="381"/>
        <v>0</v>
      </c>
      <c r="AH38" s="8">
        <f t="shared" si="381"/>
        <v>0</v>
      </c>
      <c r="AI38" s="8">
        <f t="shared" si="381"/>
        <v>0</v>
      </c>
      <c r="AJ38" s="7">
        <f t="shared" si="381"/>
        <v>0</v>
      </c>
      <c r="AK38" s="7">
        <f t="shared" si="381"/>
        <v>0</v>
      </c>
      <c r="AL38" s="7">
        <f t="shared" si="381"/>
        <v>0</v>
      </c>
      <c r="AM38" s="7">
        <f t="shared" si="381"/>
        <v>0</v>
      </c>
      <c r="AN38" s="8">
        <f t="shared" si="381"/>
        <v>0</v>
      </c>
      <c r="AO38" s="8">
        <f t="shared" si="381"/>
        <v>0</v>
      </c>
      <c r="AP38" s="8">
        <f t="shared" si="381"/>
        <v>0</v>
      </c>
      <c r="AQ38" s="8">
        <f t="shared" si="381"/>
        <v>2</v>
      </c>
      <c r="AR38" s="7">
        <f t="shared" ref="AR38:BH38" si="382">AR29+AR36</f>
        <v>0</v>
      </c>
      <c r="AS38" s="7">
        <f t="shared" si="382"/>
        <v>0</v>
      </c>
      <c r="AT38" s="7">
        <f t="shared" si="382"/>
        <v>0</v>
      </c>
      <c r="AU38" s="7">
        <f t="shared" si="382"/>
        <v>0</v>
      </c>
      <c r="AV38" s="8">
        <f t="shared" si="382"/>
        <v>0</v>
      </c>
      <c r="AW38" s="8">
        <f t="shared" si="382"/>
        <v>0</v>
      </c>
      <c r="AX38" s="8">
        <f t="shared" si="382"/>
        <v>2</v>
      </c>
      <c r="AY38" s="8">
        <f t="shared" si="382"/>
        <v>0</v>
      </c>
      <c r="AZ38" s="7">
        <f t="shared" si="382"/>
        <v>0</v>
      </c>
      <c r="BA38" s="7">
        <f t="shared" si="382"/>
        <v>0</v>
      </c>
      <c r="BB38" s="7">
        <f t="shared" si="382"/>
        <v>0</v>
      </c>
      <c r="BC38" s="7">
        <f t="shared" si="382"/>
        <v>0</v>
      </c>
      <c r="BD38" s="8">
        <f t="shared" si="382"/>
        <v>0</v>
      </c>
      <c r="BE38" s="8">
        <f t="shared" si="382"/>
        <v>0</v>
      </c>
      <c r="BF38" s="8">
        <f t="shared" si="382"/>
        <v>0</v>
      </c>
      <c r="BG38" s="8">
        <f t="shared" si="382"/>
        <v>0</v>
      </c>
      <c r="BH38" s="8">
        <f t="shared" si="382"/>
        <v>6</v>
      </c>
      <c r="BI38" s="11"/>
      <c r="BJ38" s="39"/>
      <c r="BK38" s="27">
        <f t="shared" ref="BK38:CP38" si="383">BK29+BK36</f>
        <v>0</v>
      </c>
      <c r="BL38" s="27">
        <f t="shared" si="383"/>
        <v>0</v>
      </c>
      <c r="BM38" s="27">
        <f t="shared" si="383"/>
        <v>0</v>
      </c>
      <c r="BN38" s="27">
        <f t="shared" si="383"/>
        <v>21.12</v>
      </c>
      <c r="BO38" s="33">
        <f t="shared" si="383"/>
        <v>0</v>
      </c>
      <c r="BP38" s="33">
        <f t="shared" si="383"/>
        <v>0</v>
      </c>
      <c r="BQ38" s="33">
        <f t="shared" si="383"/>
        <v>0</v>
      </c>
      <c r="BR38" s="33">
        <f t="shared" si="383"/>
        <v>0</v>
      </c>
      <c r="BS38" s="27">
        <f t="shared" si="383"/>
        <v>0</v>
      </c>
      <c r="BT38" s="27">
        <f t="shared" si="383"/>
        <v>0</v>
      </c>
      <c r="BU38" s="27">
        <f t="shared" si="383"/>
        <v>0</v>
      </c>
      <c r="BV38" s="27">
        <f t="shared" si="383"/>
        <v>0</v>
      </c>
      <c r="BW38" s="33">
        <f t="shared" si="383"/>
        <v>0</v>
      </c>
      <c r="BX38" s="33">
        <f t="shared" si="383"/>
        <v>0</v>
      </c>
      <c r="BY38" s="33">
        <f t="shared" si="383"/>
        <v>0</v>
      </c>
      <c r="BZ38" s="33">
        <f t="shared" si="383"/>
        <v>0</v>
      </c>
      <c r="CA38" s="27">
        <f t="shared" si="383"/>
        <v>0</v>
      </c>
      <c r="CB38" s="27">
        <f t="shared" si="383"/>
        <v>0</v>
      </c>
      <c r="CC38" s="27">
        <f t="shared" si="383"/>
        <v>0</v>
      </c>
      <c r="CD38" s="27">
        <f t="shared" si="383"/>
        <v>0</v>
      </c>
      <c r="CE38" s="33">
        <f t="shared" si="383"/>
        <v>0</v>
      </c>
      <c r="CF38" s="33">
        <f t="shared" si="383"/>
        <v>0</v>
      </c>
      <c r="CG38" s="33">
        <f t="shared" si="383"/>
        <v>0</v>
      </c>
      <c r="CH38" s="33">
        <f t="shared" si="383"/>
        <v>0</v>
      </c>
      <c r="CI38" s="27">
        <f t="shared" si="383"/>
        <v>0</v>
      </c>
      <c r="CJ38" s="27">
        <f t="shared" si="383"/>
        <v>0</v>
      </c>
      <c r="CK38" s="27">
        <f t="shared" si="383"/>
        <v>0</v>
      </c>
      <c r="CL38" s="27">
        <f t="shared" si="383"/>
        <v>0</v>
      </c>
      <c r="CM38" s="33">
        <f t="shared" si="383"/>
        <v>0</v>
      </c>
      <c r="CN38" s="33">
        <f t="shared" si="383"/>
        <v>0</v>
      </c>
      <c r="CO38" s="33">
        <f t="shared" si="383"/>
        <v>0</v>
      </c>
      <c r="CP38" s="33">
        <f t="shared" si="383"/>
        <v>19.8</v>
      </c>
      <c r="CQ38" s="27">
        <f t="shared" ref="CQ38:DG38" si="384">CQ29+CQ36</f>
        <v>0</v>
      </c>
      <c r="CR38" s="27">
        <f t="shared" si="384"/>
        <v>0</v>
      </c>
      <c r="CS38" s="27">
        <f t="shared" si="384"/>
        <v>0</v>
      </c>
      <c r="CT38" s="27">
        <f t="shared" si="384"/>
        <v>0</v>
      </c>
      <c r="CU38" s="33">
        <f t="shared" si="384"/>
        <v>0</v>
      </c>
      <c r="CV38" s="33">
        <f t="shared" si="384"/>
        <v>0</v>
      </c>
      <c r="CW38" s="33">
        <f t="shared" si="384"/>
        <v>15.84</v>
      </c>
      <c r="CX38" s="33">
        <f t="shared" si="384"/>
        <v>0</v>
      </c>
      <c r="CY38" s="27">
        <f t="shared" si="384"/>
        <v>0</v>
      </c>
      <c r="CZ38" s="27">
        <f t="shared" si="384"/>
        <v>0</v>
      </c>
      <c r="DA38" s="27">
        <f t="shared" si="384"/>
        <v>0</v>
      </c>
      <c r="DB38" s="27">
        <f t="shared" si="384"/>
        <v>0</v>
      </c>
      <c r="DC38" s="33">
        <f t="shared" si="384"/>
        <v>0</v>
      </c>
      <c r="DD38" s="33">
        <f t="shared" si="384"/>
        <v>0</v>
      </c>
      <c r="DE38" s="33">
        <f t="shared" si="384"/>
        <v>0</v>
      </c>
      <c r="DF38" s="33">
        <f t="shared" si="384"/>
        <v>0</v>
      </c>
      <c r="DG38" s="133">
        <f t="shared" si="384"/>
        <v>56.760000000000005</v>
      </c>
    </row>
    <row r="39" spans="1:111" x14ac:dyDescent="0.2">
      <c r="A39" s="52"/>
      <c r="B39" s="52"/>
      <c r="C39" s="52"/>
      <c r="D39" s="52"/>
      <c r="E39" s="52"/>
      <c r="F39" s="52"/>
      <c r="G39" s="52"/>
      <c r="H39" s="52"/>
      <c r="I39" s="52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  <c r="AO39" s="49"/>
      <c r="AP39" s="49"/>
      <c r="AQ39" s="49"/>
      <c r="AR39" s="49"/>
      <c r="AS39" s="49"/>
      <c r="AT39" s="49"/>
      <c r="AU39" s="49"/>
      <c r="AV39" s="49"/>
      <c r="AW39" s="49"/>
      <c r="AX39" s="49"/>
      <c r="AY39" s="49"/>
      <c r="AZ39" s="49"/>
      <c r="BA39" s="49"/>
      <c r="BB39" s="49"/>
      <c r="BC39" s="49"/>
      <c r="BD39" s="49"/>
      <c r="BE39" s="49"/>
      <c r="BF39" s="49"/>
      <c r="BG39" s="49"/>
      <c r="BH39" s="49"/>
      <c r="BI39" s="49"/>
      <c r="BJ39" s="49"/>
      <c r="BK39" s="49"/>
      <c r="BL39" s="49"/>
      <c r="BM39" s="49"/>
      <c r="BN39" s="49"/>
      <c r="BO39" s="49"/>
      <c r="BP39" s="49"/>
      <c r="BQ39" s="49"/>
      <c r="BR39" s="49"/>
      <c r="BS39" s="49"/>
      <c r="BT39" s="49"/>
      <c r="BU39" s="49"/>
      <c r="BV39" s="49"/>
      <c r="BW39" s="49"/>
      <c r="BX39" s="49"/>
      <c r="BY39" s="49"/>
      <c r="BZ39" s="49"/>
      <c r="CA39" s="49"/>
      <c r="CB39" s="49"/>
      <c r="CC39" s="49"/>
      <c r="CD39" s="49"/>
      <c r="CE39" s="49"/>
      <c r="CF39" s="49"/>
      <c r="CG39" s="49"/>
      <c r="CH39" s="49"/>
      <c r="CI39" s="49"/>
      <c r="CJ39" s="49"/>
      <c r="CK39" s="49"/>
      <c r="CL39" s="49"/>
      <c r="CM39" s="49"/>
      <c r="CN39" s="49"/>
      <c r="CO39" s="49"/>
      <c r="CP39" s="49"/>
      <c r="CQ39" s="49"/>
      <c r="CR39" s="49"/>
      <c r="CS39" s="49"/>
      <c r="CT39" s="49"/>
      <c r="CU39" s="49"/>
      <c r="CV39" s="49"/>
      <c r="CW39" s="49"/>
      <c r="CX39" s="49"/>
      <c r="CY39" s="49"/>
      <c r="CZ39" s="49"/>
      <c r="DA39" s="49"/>
      <c r="DB39" s="49"/>
      <c r="DC39" s="49"/>
      <c r="DD39" s="49"/>
      <c r="DE39" s="49"/>
      <c r="DF39" s="49"/>
      <c r="DG39" s="52"/>
    </row>
    <row r="40" spans="1:111" x14ac:dyDescent="0.2">
      <c r="A40" s="48"/>
      <c r="B40" s="49"/>
      <c r="C40" s="49"/>
      <c r="D40" s="49"/>
      <c r="E40" s="50" t="s">
        <v>148</v>
      </c>
      <c r="G40" s="52"/>
      <c r="H40" s="51"/>
      <c r="I40" s="49"/>
      <c r="J40" s="458">
        <f>DG38</f>
        <v>56.760000000000005</v>
      </c>
      <c r="K40" s="459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52"/>
      <c r="BJ40" s="53"/>
      <c r="BK40" s="52"/>
      <c r="BL40" s="52"/>
      <c r="BM40" s="52"/>
      <c r="BN40" s="52"/>
      <c r="BO40" s="52"/>
      <c r="BP40" s="52"/>
      <c r="BQ40" s="52"/>
      <c r="BR40" s="52"/>
      <c r="BS40" s="52"/>
      <c r="BT40" s="52"/>
      <c r="BU40" s="52"/>
      <c r="BV40" s="52"/>
      <c r="BW40" s="52"/>
      <c r="BX40" s="52"/>
      <c r="BY40" s="52"/>
      <c r="BZ40" s="52"/>
      <c r="CA40" s="52"/>
      <c r="CB40" s="52"/>
      <c r="CC40" s="52"/>
      <c r="CD40" s="52"/>
      <c r="CE40" s="52"/>
      <c r="CF40" s="52"/>
      <c r="CG40" s="52"/>
      <c r="CH40" s="52"/>
      <c r="CI40" s="52"/>
      <c r="CJ40" s="52"/>
      <c r="CK40" s="52"/>
      <c r="CL40" s="52"/>
      <c r="CM40" s="52"/>
      <c r="CN40" s="52"/>
      <c r="CO40" s="52"/>
      <c r="CP40" s="52"/>
      <c r="CQ40" s="52"/>
      <c r="CR40" s="52"/>
      <c r="CS40" s="52"/>
      <c r="CT40" s="52"/>
      <c r="CU40" s="52"/>
      <c r="CV40" s="52"/>
      <c r="CW40" s="52"/>
      <c r="CX40" s="52"/>
      <c r="CY40" s="52"/>
      <c r="CZ40" s="52"/>
      <c r="DA40" s="52"/>
      <c r="DB40" s="52"/>
      <c r="DC40" s="52"/>
      <c r="DD40" s="52"/>
      <c r="DE40" s="52"/>
      <c r="DF40" s="52"/>
      <c r="DG40" s="52"/>
    </row>
    <row r="41" spans="1:111" x14ac:dyDescent="0.2">
      <c r="A41" s="453"/>
      <c r="B41" s="453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52"/>
      <c r="BJ41" s="53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52"/>
      <c r="CC41" s="52"/>
      <c r="CD41" s="52"/>
      <c r="CE41" s="52"/>
      <c r="CF41" s="52"/>
      <c r="CG41" s="52"/>
      <c r="CH41" s="52"/>
      <c r="CI41" s="52"/>
      <c r="CJ41" s="52"/>
      <c r="CK41" s="52"/>
      <c r="CL41" s="52"/>
      <c r="CM41" s="52"/>
      <c r="CN41" s="52"/>
      <c r="CO41" s="52"/>
      <c r="CP41" s="52"/>
      <c r="CQ41" s="52"/>
      <c r="CR41" s="52"/>
      <c r="CS41" s="52"/>
      <c r="CT41" s="52"/>
      <c r="CU41" s="52"/>
      <c r="CV41" s="52"/>
      <c r="CW41" s="52"/>
      <c r="CX41" s="52"/>
      <c r="CY41" s="52"/>
      <c r="CZ41" s="52"/>
      <c r="DA41" s="52"/>
      <c r="DB41" s="52"/>
      <c r="DC41" s="52"/>
      <c r="DD41" s="52"/>
      <c r="DE41" s="52"/>
      <c r="DF41" s="52"/>
      <c r="DG41" s="52"/>
    </row>
    <row r="42" spans="1:111" ht="24" customHeight="1" x14ac:dyDescent="0.2">
      <c r="A42" s="460" t="s">
        <v>149</v>
      </c>
      <c r="B42" s="460"/>
      <c r="C42" s="460"/>
      <c r="D42" s="460"/>
      <c r="E42" s="460"/>
      <c r="F42" s="460"/>
      <c r="G42" s="460"/>
      <c r="H42" s="460"/>
      <c r="I42" s="460"/>
      <c r="J42" s="460"/>
      <c r="K42" s="460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52"/>
      <c r="BJ42" s="53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2"/>
      <c r="CA42" s="52"/>
      <c r="CB42" s="52"/>
      <c r="CC42" s="52"/>
      <c r="CD42" s="52"/>
      <c r="CE42" s="52"/>
      <c r="CF42" s="52"/>
      <c r="CG42" s="52"/>
      <c r="CH42" s="52"/>
      <c r="CI42" s="52"/>
      <c r="CJ42" s="52"/>
      <c r="CK42" s="52"/>
      <c r="CL42" s="52"/>
      <c r="CM42" s="52"/>
      <c r="CN42" s="52"/>
      <c r="CO42" s="52"/>
      <c r="CP42" s="52"/>
      <c r="CQ42" s="52"/>
      <c r="CR42" s="52"/>
      <c r="CS42" s="52"/>
      <c r="CT42" s="52"/>
      <c r="CU42" s="52"/>
      <c r="CV42" s="52"/>
      <c r="CW42" s="52"/>
      <c r="CX42" s="52"/>
      <c r="CY42" s="52"/>
      <c r="CZ42" s="52"/>
      <c r="DA42" s="52"/>
      <c r="DB42" s="52"/>
      <c r="DC42" s="52"/>
      <c r="DD42" s="52"/>
      <c r="DE42" s="52"/>
      <c r="DF42" s="52"/>
      <c r="DG42" s="52"/>
    </row>
    <row r="43" spans="1:111" x14ac:dyDescent="0.2">
      <c r="A43" s="461" t="s">
        <v>150</v>
      </c>
      <c r="B43" s="462"/>
      <c r="C43" s="462"/>
      <c r="D43" s="462"/>
      <c r="E43" s="462"/>
      <c r="F43" s="462"/>
      <c r="G43" s="462"/>
      <c r="H43" s="462"/>
      <c r="I43" s="462"/>
      <c r="J43" s="462"/>
      <c r="K43" s="46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52"/>
      <c r="BJ43" s="53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52"/>
      <c r="CC43" s="52"/>
      <c r="CD43" s="52"/>
      <c r="CE43" s="52"/>
      <c r="CF43" s="52"/>
      <c r="CG43" s="52"/>
      <c r="CH43" s="52"/>
      <c r="CI43" s="52"/>
      <c r="CJ43" s="52"/>
      <c r="CK43" s="52"/>
      <c r="CL43" s="52"/>
      <c r="CM43" s="52"/>
      <c r="CN43" s="52"/>
      <c r="CO43" s="52"/>
      <c r="CP43" s="52"/>
      <c r="CQ43" s="52"/>
      <c r="CR43" s="52"/>
      <c r="CS43" s="52"/>
      <c r="CT43" s="52"/>
      <c r="CU43" s="52"/>
      <c r="CV43" s="52"/>
      <c r="CW43" s="52"/>
      <c r="CX43" s="52"/>
      <c r="CY43" s="52"/>
      <c r="CZ43" s="52"/>
      <c r="DA43" s="52"/>
      <c r="DB43" s="52"/>
      <c r="DC43" s="52"/>
      <c r="DD43" s="52"/>
      <c r="DE43" s="52"/>
      <c r="DF43" s="52"/>
      <c r="DG43" s="52"/>
    </row>
    <row r="44" spans="1:111" x14ac:dyDescent="0.2">
      <c r="A44" s="452"/>
      <c r="B44" s="4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52"/>
      <c r="BJ44" s="53"/>
      <c r="BK44" s="52"/>
      <c r="BL44" s="52"/>
      <c r="BM44" s="52"/>
      <c r="BN44" s="52"/>
      <c r="BO44" s="52"/>
      <c r="BP44" s="52"/>
      <c r="BQ44" s="52"/>
      <c r="BR44" s="52"/>
      <c r="BS44" s="52"/>
      <c r="BT44" s="52"/>
      <c r="BU44" s="52"/>
      <c r="BV44" s="52"/>
      <c r="BW44" s="52"/>
      <c r="BX44" s="52"/>
      <c r="BY44" s="52"/>
      <c r="BZ44" s="52"/>
      <c r="CA44" s="52"/>
      <c r="CB44" s="52"/>
      <c r="CC44" s="52"/>
      <c r="CD44" s="52"/>
      <c r="CE44" s="52"/>
      <c r="CF44" s="52"/>
      <c r="CG44" s="52"/>
      <c r="CH44" s="52"/>
      <c r="CI44" s="52"/>
      <c r="CJ44" s="52"/>
      <c r="CK44" s="52"/>
      <c r="CL44" s="52"/>
      <c r="CM44" s="52"/>
      <c r="CN44" s="52"/>
      <c r="CO44" s="52"/>
      <c r="CP44" s="52"/>
      <c r="CQ44" s="52"/>
      <c r="CR44" s="52"/>
      <c r="CS44" s="52"/>
      <c r="CT44" s="52"/>
      <c r="CU44" s="52"/>
      <c r="CV44" s="52"/>
      <c r="CW44" s="52"/>
      <c r="CX44" s="52"/>
      <c r="CY44" s="52"/>
      <c r="CZ44" s="52"/>
      <c r="DA44" s="52"/>
      <c r="DB44" s="52"/>
      <c r="DC44" s="52"/>
      <c r="DD44" s="52"/>
      <c r="DE44" s="52"/>
      <c r="DF44" s="52"/>
      <c r="DG44" s="52"/>
    </row>
    <row r="45" spans="1:111" x14ac:dyDescent="0.2">
      <c r="A45" s="100"/>
      <c r="B45" s="101">
        <v>3</v>
      </c>
      <c r="C45" s="102"/>
      <c r="D45" s="52"/>
      <c r="E45" s="52"/>
      <c r="F45" s="463">
        <f>(VLOOKUP(B45,Calcs!$E$13:$G$15,3,FALSE))</f>
        <v>0.1</v>
      </c>
      <c r="G45" s="464"/>
      <c r="H45" s="456" t="s">
        <v>151</v>
      </c>
      <c r="I45" s="457"/>
      <c r="J45" s="458">
        <f>$F$45*$J$40</f>
        <v>5.676000000000001</v>
      </c>
      <c r="K45" s="459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52"/>
      <c r="BJ45" s="53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2"/>
      <c r="BX45" s="52"/>
      <c r="BY45" s="52"/>
      <c r="BZ45" s="52"/>
      <c r="CA45" s="52"/>
      <c r="CB45" s="52"/>
      <c r="CC45" s="52"/>
      <c r="CD45" s="52"/>
      <c r="CE45" s="52"/>
      <c r="CF45" s="52"/>
      <c r="CG45" s="52"/>
      <c r="CH45" s="52"/>
      <c r="CI45" s="52"/>
      <c r="CJ45" s="52"/>
      <c r="CK45" s="52"/>
      <c r="CL45" s="52"/>
      <c r="CM45" s="52"/>
      <c r="CN45" s="52"/>
      <c r="CO45" s="52"/>
      <c r="CP45" s="52"/>
      <c r="CQ45" s="52"/>
      <c r="CR45" s="52"/>
      <c r="CS45" s="52"/>
      <c r="CT45" s="52"/>
      <c r="CU45" s="52"/>
      <c r="CV45" s="52"/>
      <c r="CW45" s="52"/>
      <c r="CX45" s="52"/>
      <c r="CY45" s="52"/>
      <c r="CZ45" s="52"/>
      <c r="DA45" s="52"/>
      <c r="DB45" s="52"/>
      <c r="DC45" s="52"/>
      <c r="DD45" s="52"/>
      <c r="DE45" s="52"/>
      <c r="DF45" s="52"/>
      <c r="DG45" s="52"/>
    </row>
    <row r="46" spans="1:111" x14ac:dyDescent="0.2">
      <c r="A46" s="452"/>
      <c r="B46" s="452">
        <v>1</v>
      </c>
      <c r="C46" s="52"/>
      <c r="D46" s="52"/>
      <c r="E46" s="52"/>
      <c r="F46" s="52"/>
      <c r="G46" s="52"/>
      <c r="H46" s="476"/>
      <c r="I46" s="477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52"/>
      <c r="BJ46" s="53"/>
      <c r="BK46" s="52"/>
      <c r="BL46" s="52"/>
      <c r="BM46" s="52"/>
      <c r="BN46" s="52"/>
      <c r="BO46" s="52"/>
      <c r="BP46" s="52"/>
      <c r="BQ46" s="52"/>
      <c r="BR46" s="52"/>
      <c r="BS46" s="52"/>
      <c r="BT46" s="52"/>
      <c r="BU46" s="52"/>
      <c r="BV46" s="52"/>
      <c r="BW46" s="52"/>
      <c r="BX46" s="52"/>
      <c r="BY46" s="52"/>
      <c r="BZ46" s="52"/>
      <c r="CA46" s="52"/>
      <c r="CB46" s="52"/>
      <c r="CC46" s="52"/>
      <c r="CD46" s="52"/>
      <c r="CE46" s="52"/>
      <c r="CF46" s="52"/>
      <c r="CG46" s="52"/>
      <c r="CH46" s="52"/>
      <c r="CI46" s="52"/>
      <c r="CJ46" s="52"/>
      <c r="CK46" s="52"/>
      <c r="CL46" s="52"/>
      <c r="CM46" s="52"/>
      <c r="CN46" s="52"/>
      <c r="CO46" s="52"/>
      <c r="CP46" s="52"/>
      <c r="CQ46" s="52"/>
      <c r="CR46" s="52"/>
      <c r="CS46" s="52"/>
      <c r="CT46" s="52"/>
      <c r="CU46" s="52"/>
      <c r="CV46" s="52"/>
      <c r="CW46" s="52"/>
      <c r="CX46" s="52"/>
      <c r="CY46" s="52"/>
      <c r="CZ46" s="52"/>
      <c r="DA46" s="52"/>
      <c r="DB46" s="52"/>
      <c r="DC46" s="52"/>
      <c r="DD46" s="52"/>
      <c r="DE46" s="52"/>
      <c r="DF46" s="52"/>
      <c r="DG46" s="52"/>
    </row>
    <row r="47" spans="1:111" x14ac:dyDescent="0.2">
      <c r="A47" s="461" t="s">
        <v>152</v>
      </c>
      <c r="B47" s="462"/>
      <c r="C47" s="462"/>
      <c r="D47" s="462"/>
      <c r="E47" s="462"/>
      <c r="F47" s="462"/>
      <c r="G47" s="462"/>
      <c r="H47" s="462"/>
      <c r="I47" s="462"/>
      <c r="J47" s="462"/>
      <c r="K47" s="46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3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  <c r="BX47" s="52"/>
      <c r="BY47" s="52"/>
      <c r="BZ47" s="52"/>
      <c r="CA47" s="52"/>
      <c r="CB47" s="52"/>
      <c r="CC47" s="52"/>
      <c r="CD47" s="52"/>
      <c r="CE47" s="52"/>
      <c r="CF47" s="52"/>
      <c r="CG47" s="52"/>
      <c r="CH47" s="52"/>
      <c r="CI47" s="52"/>
      <c r="CJ47" s="52"/>
      <c r="CK47" s="52"/>
      <c r="CL47" s="52"/>
      <c r="CM47" s="52"/>
      <c r="CN47" s="52"/>
      <c r="CO47" s="52"/>
      <c r="CP47" s="52"/>
      <c r="CQ47" s="52"/>
      <c r="CR47" s="52"/>
      <c r="CS47" s="52"/>
      <c r="CT47" s="52"/>
      <c r="CU47" s="52"/>
      <c r="CV47" s="52"/>
      <c r="CW47" s="52"/>
      <c r="CX47" s="52"/>
      <c r="CY47" s="52"/>
      <c r="CZ47" s="52"/>
      <c r="DA47" s="52"/>
      <c r="DB47" s="52"/>
      <c r="DC47" s="52"/>
      <c r="DD47" s="52"/>
      <c r="DE47" s="52"/>
      <c r="DF47" s="52"/>
      <c r="DG47" s="52"/>
    </row>
    <row r="48" spans="1:111" x14ac:dyDescent="0.2">
      <c r="A48" s="452"/>
      <c r="B48" s="4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3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  <c r="BX48" s="52"/>
      <c r="BY48" s="52"/>
      <c r="BZ48" s="52"/>
      <c r="CA48" s="52"/>
      <c r="CB48" s="52"/>
      <c r="CC48" s="52"/>
      <c r="CD48" s="52"/>
      <c r="CE48" s="52"/>
      <c r="CF48" s="52"/>
      <c r="CG48" s="52"/>
      <c r="CH48" s="52"/>
      <c r="CI48" s="52"/>
      <c r="CJ48" s="52"/>
      <c r="CK48" s="52"/>
      <c r="CL48" s="52"/>
      <c r="CM48" s="52"/>
      <c r="CN48" s="52"/>
      <c r="CO48" s="52"/>
      <c r="CP48" s="52"/>
      <c r="CQ48" s="52"/>
      <c r="CR48" s="52"/>
      <c r="CS48" s="52"/>
      <c r="CT48" s="52"/>
      <c r="CU48" s="52"/>
      <c r="CV48" s="52"/>
      <c r="CW48" s="52"/>
      <c r="CX48" s="52"/>
      <c r="CY48" s="52"/>
      <c r="CZ48" s="52"/>
      <c r="DA48" s="52"/>
      <c r="DB48" s="52"/>
      <c r="DC48" s="52"/>
      <c r="DD48" s="52"/>
      <c r="DE48" s="52"/>
      <c r="DF48" s="52"/>
      <c r="DG48" s="52"/>
    </row>
    <row r="49" spans="1:111" x14ac:dyDescent="0.2">
      <c r="A49" s="100"/>
      <c r="B49" s="101">
        <v>3</v>
      </c>
      <c r="C49" s="102"/>
      <c r="D49" s="52"/>
      <c r="E49" s="52"/>
      <c r="F49" s="463">
        <f>(VLOOKUP(B49,Calcs!$E$13:$G$15,3,FALSE))</f>
        <v>0.1</v>
      </c>
      <c r="G49" s="464"/>
      <c r="H49" s="456" t="s">
        <v>151</v>
      </c>
      <c r="I49" s="457"/>
      <c r="J49" s="458">
        <f>$F$49*$J$40</f>
        <v>5.676000000000001</v>
      </c>
      <c r="K49" s="459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3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  <c r="CC49" s="52"/>
      <c r="CD49" s="52"/>
      <c r="CE49" s="52"/>
      <c r="CF49" s="52"/>
      <c r="CG49" s="52"/>
      <c r="CH49" s="52"/>
      <c r="CI49" s="52"/>
      <c r="CJ49" s="52"/>
      <c r="CK49" s="52"/>
      <c r="CL49" s="52"/>
      <c r="CM49" s="52"/>
      <c r="CN49" s="52"/>
      <c r="CO49" s="52"/>
      <c r="CP49" s="52"/>
      <c r="CQ49" s="52"/>
      <c r="CR49" s="52"/>
      <c r="CS49" s="52"/>
      <c r="CT49" s="52"/>
      <c r="CU49" s="52"/>
      <c r="CV49" s="52"/>
      <c r="CW49" s="52"/>
      <c r="CX49" s="52"/>
      <c r="CY49" s="52"/>
      <c r="CZ49" s="52"/>
      <c r="DA49" s="52"/>
      <c r="DB49" s="52"/>
      <c r="DC49" s="52"/>
      <c r="DD49" s="52"/>
      <c r="DE49" s="52"/>
      <c r="DF49" s="52"/>
      <c r="DG49" s="52"/>
    </row>
    <row r="50" spans="1:111" x14ac:dyDescent="0.2">
      <c r="A50" s="452"/>
      <c r="B50" s="452">
        <v>1</v>
      </c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52"/>
      <c r="BG50" s="52"/>
      <c r="BH50" s="52"/>
      <c r="BI50" s="52"/>
      <c r="BJ50" s="53"/>
      <c r="BK50" s="52"/>
      <c r="BL50" s="52"/>
      <c r="BM50" s="52"/>
      <c r="BN50" s="52"/>
      <c r="BO50" s="52"/>
      <c r="BP50" s="52"/>
      <c r="BQ50" s="52"/>
      <c r="BR50" s="52"/>
      <c r="BS50" s="52"/>
      <c r="BT50" s="52"/>
      <c r="BU50" s="52"/>
      <c r="BV50" s="52"/>
      <c r="BW50" s="52"/>
      <c r="BX50" s="52"/>
      <c r="BY50" s="52"/>
      <c r="BZ50" s="52"/>
      <c r="CA50" s="52"/>
      <c r="CB50" s="52"/>
      <c r="CC50" s="52"/>
      <c r="CD50" s="52"/>
      <c r="CE50" s="52"/>
      <c r="CF50" s="52"/>
      <c r="CG50" s="52"/>
      <c r="CH50" s="52"/>
      <c r="CI50" s="52"/>
      <c r="CJ50" s="52"/>
      <c r="CK50" s="52"/>
      <c r="CL50" s="52"/>
      <c r="CM50" s="52"/>
      <c r="CN50" s="52"/>
      <c r="CO50" s="52"/>
      <c r="CP50" s="52"/>
      <c r="CQ50" s="52"/>
      <c r="CR50" s="52"/>
      <c r="CS50" s="52"/>
      <c r="CT50" s="52"/>
      <c r="CU50" s="52"/>
      <c r="CV50" s="52"/>
      <c r="CW50" s="52"/>
      <c r="CX50" s="52"/>
      <c r="CY50" s="52"/>
      <c r="CZ50" s="52"/>
      <c r="DA50" s="52"/>
      <c r="DB50" s="52"/>
      <c r="DC50" s="52"/>
      <c r="DD50" s="52"/>
      <c r="DE50" s="52"/>
      <c r="DF50" s="52"/>
      <c r="DG50" s="52"/>
    </row>
    <row r="51" spans="1:111" x14ac:dyDescent="0.2">
      <c r="A51" s="461" t="s">
        <v>153</v>
      </c>
      <c r="B51" s="462"/>
      <c r="C51" s="462"/>
      <c r="D51" s="462"/>
      <c r="E51" s="462"/>
      <c r="F51" s="462"/>
      <c r="G51" s="462"/>
      <c r="H51" s="462"/>
      <c r="I51" s="462"/>
      <c r="J51" s="462"/>
      <c r="K51" s="46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52"/>
      <c r="BG51" s="52"/>
      <c r="BH51" s="52"/>
      <c r="BI51" s="52"/>
      <c r="BJ51" s="53"/>
      <c r="BK51" s="52"/>
      <c r="BL51" s="52"/>
      <c r="BM51" s="52"/>
      <c r="BN51" s="52"/>
      <c r="BO51" s="52"/>
      <c r="BP51" s="52"/>
      <c r="BQ51" s="52"/>
      <c r="BR51" s="52"/>
      <c r="BS51" s="52"/>
      <c r="BT51" s="52"/>
      <c r="BU51" s="52"/>
      <c r="BV51" s="52"/>
      <c r="BW51" s="52"/>
      <c r="BX51" s="52"/>
      <c r="BY51" s="52"/>
      <c r="BZ51" s="52"/>
      <c r="CA51" s="52"/>
      <c r="CB51" s="52"/>
      <c r="CC51" s="52"/>
      <c r="CD51" s="52"/>
      <c r="CE51" s="52"/>
      <c r="CF51" s="52"/>
      <c r="CG51" s="52"/>
      <c r="CH51" s="52"/>
      <c r="CI51" s="52"/>
      <c r="CJ51" s="52"/>
      <c r="CK51" s="52"/>
      <c r="CL51" s="52"/>
      <c r="CM51" s="52"/>
      <c r="CN51" s="52"/>
      <c r="CO51" s="52"/>
      <c r="CP51" s="52"/>
      <c r="CQ51" s="52"/>
      <c r="CR51" s="52"/>
      <c r="CS51" s="52"/>
      <c r="CT51" s="52"/>
      <c r="CU51" s="52"/>
      <c r="CV51" s="52"/>
      <c r="CW51" s="52"/>
      <c r="CX51" s="52"/>
      <c r="CY51" s="52"/>
      <c r="CZ51" s="52"/>
      <c r="DA51" s="52"/>
      <c r="DB51" s="52"/>
      <c r="DC51" s="52"/>
      <c r="DD51" s="52"/>
      <c r="DE51" s="52"/>
      <c r="DF51" s="52"/>
      <c r="DG51" s="52"/>
    </row>
    <row r="52" spans="1:111" x14ac:dyDescent="0.2">
      <c r="A52" s="452"/>
      <c r="B52" s="4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  <c r="BH52" s="52"/>
      <c r="BI52" s="52"/>
      <c r="BJ52" s="53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  <c r="BX52" s="52"/>
      <c r="BY52" s="52"/>
      <c r="BZ52" s="52"/>
      <c r="CA52" s="52"/>
      <c r="CB52" s="52"/>
      <c r="CC52" s="52"/>
      <c r="CD52" s="52"/>
      <c r="CE52" s="52"/>
      <c r="CF52" s="52"/>
      <c r="CG52" s="52"/>
      <c r="CH52" s="52"/>
      <c r="CI52" s="52"/>
      <c r="CJ52" s="52"/>
      <c r="CK52" s="52"/>
      <c r="CL52" s="52"/>
      <c r="CM52" s="52"/>
      <c r="CN52" s="52"/>
      <c r="CO52" s="52"/>
      <c r="CP52" s="52"/>
      <c r="CQ52" s="52"/>
      <c r="CR52" s="52"/>
      <c r="CS52" s="52"/>
      <c r="CT52" s="52"/>
      <c r="CU52" s="52"/>
      <c r="CV52" s="52"/>
      <c r="CW52" s="52"/>
      <c r="CX52" s="52"/>
      <c r="CY52" s="52"/>
      <c r="CZ52" s="52"/>
      <c r="DA52" s="52"/>
      <c r="DB52" s="52"/>
      <c r="DC52" s="52"/>
      <c r="DD52" s="52"/>
      <c r="DE52" s="52"/>
      <c r="DF52" s="52"/>
      <c r="DG52" s="52"/>
    </row>
    <row r="53" spans="1:111" x14ac:dyDescent="0.2">
      <c r="A53" s="100"/>
      <c r="B53" s="101">
        <v>1</v>
      </c>
      <c r="C53" s="102"/>
      <c r="D53" s="52"/>
      <c r="E53" s="52"/>
      <c r="F53" s="463">
        <f>(VLOOKUP(B53,Calcs!$E$17:$G$19,3,FALSE))</f>
        <v>0.2</v>
      </c>
      <c r="G53" s="474"/>
      <c r="H53" s="456" t="s">
        <v>151</v>
      </c>
      <c r="I53" s="475"/>
      <c r="J53" s="458">
        <f>$F$53*$J$40</f>
        <v>11.352000000000002</v>
      </c>
      <c r="K53" s="459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BF53" s="52"/>
      <c r="BG53" s="52"/>
      <c r="BH53" s="52"/>
      <c r="BI53" s="52"/>
      <c r="BJ53" s="53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B53" s="52"/>
      <c r="CC53" s="52"/>
      <c r="CD53" s="52"/>
      <c r="CE53" s="52"/>
      <c r="CF53" s="52"/>
      <c r="CG53" s="52"/>
      <c r="CH53" s="52"/>
      <c r="CI53" s="52"/>
      <c r="CJ53" s="52"/>
      <c r="CK53" s="52"/>
      <c r="CL53" s="52"/>
      <c r="CM53" s="52"/>
      <c r="CN53" s="52"/>
      <c r="CO53" s="52"/>
      <c r="CP53" s="52"/>
      <c r="CQ53" s="52"/>
      <c r="CR53" s="52"/>
      <c r="CS53" s="52"/>
      <c r="CT53" s="52"/>
      <c r="CU53" s="52"/>
      <c r="CV53" s="52"/>
      <c r="CW53" s="52"/>
      <c r="CX53" s="52"/>
      <c r="CY53" s="52"/>
      <c r="CZ53" s="52"/>
      <c r="DA53" s="52"/>
      <c r="DB53" s="52"/>
      <c r="DC53" s="52"/>
      <c r="DD53" s="52"/>
      <c r="DE53" s="52"/>
      <c r="DF53" s="52"/>
      <c r="DG53" s="52"/>
    </row>
    <row r="54" spans="1:111" x14ac:dyDescent="0.2">
      <c r="A54" s="452"/>
      <c r="B54" s="452">
        <v>1</v>
      </c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  <c r="BH54" s="52"/>
      <c r="BI54" s="52"/>
      <c r="BJ54" s="53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D54" s="52"/>
      <c r="CE54" s="52"/>
      <c r="CF54" s="52"/>
      <c r="CG54" s="52"/>
      <c r="CH54" s="52"/>
      <c r="CI54" s="52"/>
      <c r="CJ54" s="52"/>
      <c r="CK54" s="52"/>
      <c r="CL54" s="52"/>
      <c r="CM54" s="52"/>
      <c r="CN54" s="52"/>
      <c r="CO54" s="52"/>
      <c r="CP54" s="52"/>
      <c r="CQ54" s="52"/>
      <c r="CR54" s="52"/>
      <c r="CS54" s="52"/>
      <c r="CT54" s="52"/>
      <c r="CU54" s="52"/>
      <c r="CV54" s="52"/>
      <c r="CW54" s="52"/>
      <c r="CX54" s="52"/>
      <c r="CY54" s="52"/>
      <c r="CZ54" s="52"/>
      <c r="DA54" s="52"/>
      <c r="DB54" s="52"/>
      <c r="DC54" s="52"/>
      <c r="DD54" s="52"/>
      <c r="DE54" s="52"/>
      <c r="DF54" s="52"/>
      <c r="DG54" s="52"/>
    </row>
    <row r="55" spans="1:111" x14ac:dyDescent="0.2">
      <c r="A55" s="453"/>
      <c r="B55" s="454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/>
      <c r="BB55" s="52"/>
      <c r="BC55" s="52"/>
      <c r="BD55" s="52"/>
      <c r="BE55" s="52"/>
      <c r="BF55" s="52"/>
      <c r="BG55" s="52"/>
      <c r="BH55" s="52"/>
      <c r="BI55" s="52"/>
      <c r="BJ55" s="53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D55" s="52"/>
      <c r="CE55" s="52"/>
      <c r="CF55" s="52"/>
      <c r="CG55" s="52"/>
      <c r="CH55" s="52"/>
      <c r="CI55" s="52"/>
      <c r="CJ55" s="52"/>
      <c r="CK55" s="52"/>
      <c r="CL55" s="52"/>
      <c r="CM55" s="52"/>
      <c r="CN55" s="52"/>
      <c r="CO55" s="52"/>
      <c r="CP55" s="52"/>
      <c r="CQ55" s="52"/>
      <c r="CR55" s="52"/>
      <c r="CS55" s="52"/>
      <c r="CT55" s="52"/>
      <c r="CU55" s="52"/>
      <c r="CV55" s="52"/>
      <c r="CW55" s="52"/>
      <c r="CX55" s="52"/>
      <c r="CY55" s="52"/>
      <c r="CZ55" s="52"/>
      <c r="DA55" s="52"/>
      <c r="DB55" s="52"/>
      <c r="DC55" s="52"/>
      <c r="DD55" s="52"/>
      <c r="DE55" s="52"/>
      <c r="DF55" s="52"/>
      <c r="DG55" s="52"/>
    </row>
    <row r="56" spans="1:111" x14ac:dyDescent="0.2">
      <c r="A56" s="53"/>
      <c r="B56" s="53"/>
      <c r="C56" s="52"/>
      <c r="D56" s="52"/>
      <c r="E56" s="124" t="s">
        <v>201</v>
      </c>
      <c r="G56" s="54"/>
      <c r="H56" s="54"/>
      <c r="I56" s="52"/>
      <c r="J56" s="465">
        <f>SUM($J$40,$J$45,$J$49,$J$53)</f>
        <v>79.464000000000013</v>
      </c>
      <c r="K56" s="459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/>
      <c r="BB56" s="52"/>
      <c r="BC56" s="52"/>
      <c r="BD56" s="52"/>
      <c r="BE56" s="52"/>
      <c r="BF56" s="52"/>
      <c r="BG56" s="52"/>
      <c r="BH56" s="52"/>
      <c r="BI56" s="52"/>
      <c r="BJ56" s="53"/>
      <c r="BK56" s="52"/>
      <c r="BL56" s="52"/>
      <c r="BM56" s="52"/>
      <c r="BN56" s="52"/>
      <c r="BO56" s="52"/>
      <c r="BP56" s="52"/>
      <c r="BQ56" s="52"/>
      <c r="BR56" s="52"/>
      <c r="BS56" s="52"/>
      <c r="BT56" s="52"/>
      <c r="BU56" s="52"/>
      <c r="BV56" s="52"/>
      <c r="BW56" s="52"/>
      <c r="BX56" s="52"/>
      <c r="BY56" s="52"/>
      <c r="BZ56" s="52"/>
      <c r="CA56" s="52"/>
      <c r="CB56" s="52"/>
      <c r="CC56" s="52"/>
      <c r="CD56" s="52"/>
      <c r="CE56" s="52"/>
      <c r="CF56" s="52"/>
      <c r="CG56" s="52"/>
      <c r="CH56" s="52"/>
      <c r="CI56" s="52"/>
      <c r="CJ56" s="52"/>
      <c r="CK56" s="52"/>
      <c r="CL56" s="52"/>
      <c r="CM56" s="52"/>
      <c r="CN56" s="52"/>
      <c r="CO56" s="52"/>
      <c r="CP56" s="52"/>
      <c r="CQ56" s="52"/>
      <c r="CR56" s="52"/>
      <c r="CS56" s="52"/>
      <c r="CT56" s="52"/>
      <c r="CU56" s="52"/>
      <c r="CV56" s="52"/>
      <c r="CW56" s="52"/>
      <c r="CX56" s="52"/>
      <c r="CY56" s="52"/>
      <c r="CZ56" s="52"/>
      <c r="DA56" s="52"/>
      <c r="DB56" s="52"/>
      <c r="DC56" s="52"/>
      <c r="DD56" s="52"/>
      <c r="DE56" s="52"/>
      <c r="DF56" s="52"/>
      <c r="DG56" s="52"/>
    </row>
    <row r="59" spans="1:111" x14ac:dyDescent="0.2">
      <c r="A59" s="135" t="s">
        <v>24</v>
      </c>
      <c r="B59" s="134"/>
      <c r="C59" s="134"/>
    </row>
    <row r="60" spans="1:111" x14ac:dyDescent="0.2">
      <c r="A60" s="134" t="s">
        <v>25</v>
      </c>
      <c r="B60" s="134"/>
      <c r="C60" s="2"/>
    </row>
    <row r="61" spans="1:111" x14ac:dyDescent="0.2">
      <c r="A61" s="134" t="s">
        <v>25</v>
      </c>
      <c r="B61" s="134"/>
      <c r="C61" s="4"/>
    </row>
    <row r="62" spans="1:111" x14ac:dyDescent="0.2">
      <c r="A62" s="134" t="s">
        <v>25</v>
      </c>
      <c r="B62" s="134"/>
      <c r="C62" s="138"/>
    </row>
    <row r="63" spans="1:111" x14ac:dyDescent="0.2">
      <c r="O63" s="137" t="s">
        <v>268</v>
      </c>
    </row>
    <row r="82" spans="8:8" x14ac:dyDescent="0.2">
      <c r="H82" s="45">
        <v>1</v>
      </c>
    </row>
  </sheetData>
  <sheetProtection insertRows="0" deleteRows="0"/>
  <mergeCells count="65">
    <mergeCell ref="L1:BH1"/>
    <mergeCell ref="BJ1:DG1"/>
    <mergeCell ref="BJ4:DG4"/>
    <mergeCell ref="L4:BH4"/>
    <mergeCell ref="L3:BH3"/>
    <mergeCell ref="BJ3:DG3"/>
    <mergeCell ref="AR5:AU5"/>
    <mergeCell ref="BD5:BG5"/>
    <mergeCell ref="AZ5:BC5"/>
    <mergeCell ref="AV5:AY5"/>
    <mergeCell ref="J40:K40"/>
    <mergeCell ref="A35:J35"/>
    <mergeCell ref="A36:J36"/>
    <mergeCell ref="A37:J37"/>
    <mergeCell ref="A30:J30"/>
    <mergeCell ref="A8:J8"/>
    <mergeCell ref="A31:J31"/>
    <mergeCell ref="A34:J34"/>
    <mergeCell ref="A33:J33"/>
    <mergeCell ref="A32:J32"/>
    <mergeCell ref="A18:J18"/>
    <mergeCell ref="A17:J17"/>
    <mergeCell ref="J56:K56"/>
    <mergeCell ref="A5:J5"/>
    <mergeCell ref="A6:J6"/>
    <mergeCell ref="A7:J7"/>
    <mergeCell ref="A29:J29"/>
    <mergeCell ref="A50:B50"/>
    <mergeCell ref="A51:K51"/>
    <mergeCell ref="A52:B52"/>
    <mergeCell ref="F53:G53"/>
    <mergeCell ref="H53:I53"/>
    <mergeCell ref="J53:K53"/>
    <mergeCell ref="A46:B46"/>
    <mergeCell ref="H46:I46"/>
    <mergeCell ref="A47:K47"/>
    <mergeCell ref="A27:J27"/>
    <mergeCell ref="A23:J23"/>
    <mergeCell ref="A55:B55"/>
    <mergeCell ref="A38:J38"/>
    <mergeCell ref="H49:I49"/>
    <mergeCell ref="J49:K49"/>
    <mergeCell ref="A42:K42"/>
    <mergeCell ref="A43:K43"/>
    <mergeCell ref="A44:B44"/>
    <mergeCell ref="F45:G45"/>
    <mergeCell ref="H45:I45"/>
    <mergeCell ref="J45:K45"/>
    <mergeCell ref="A41:B41"/>
    <mergeCell ref="A48:B48"/>
    <mergeCell ref="F49:G49"/>
    <mergeCell ref="A26:J26"/>
    <mergeCell ref="A25:J25"/>
    <mergeCell ref="A24:J24"/>
    <mergeCell ref="A21:J21"/>
    <mergeCell ref="A54:B54"/>
    <mergeCell ref="A19:J19"/>
    <mergeCell ref="A22:J22"/>
    <mergeCell ref="A9:J9"/>
    <mergeCell ref="A11:J11"/>
    <mergeCell ref="A10:J10"/>
    <mergeCell ref="A15:J15"/>
    <mergeCell ref="A16:J16"/>
    <mergeCell ref="A14:J14"/>
    <mergeCell ref="A20:J20"/>
  </mergeCells>
  <phoneticPr fontId="0" type="noConversion"/>
  <pageMargins left="0.75" right="0.75" top="1" bottom="1" header="0.5" footer="0.5"/>
  <pageSetup scale="75" pageOrder="overThenDown" orientation="landscape" horizontalDpi="200" r:id="rId1"/>
  <headerFooter alignWithMargins="0">
    <oddHeader>&amp;LEstimate Worksheet</oddHeader>
    <oddFooter>&amp;L&amp;BEDS Confidential&amp;B&amp;C&amp;D&amp;RPage &amp;P</oddFooter>
  </headerFooter>
  <colBreaks count="1" manualBreakCount="1">
    <brk id="6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6" r:id="rId4" name="Option Button 54">
              <controlPr locked="0" defaultSize="0" autoFill="0" autoLine="0" autoPict="0">
                <anchor moveWithCells="1">
                  <from>
                    <xdr:col>0</xdr:col>
                    <xdr:colOff>200025</xdr:colOff>
                    <xdr:row>47</xdr:row>
                    <xdr:rowOff>114300</xdr:rowOff>
                  </from>
                  <to>
                    <xdr:col>0</xdr:col>
                    <xdr:colOff>828675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" name="Option Button 55">
              <controlPr locked="0" defaultSize="0" autoFill="0" autoLine="0" autoPict="0">
                <anchor moveWithCells="1">
                  <from>
                    <xdr:col>0</xdr:col>
                    <xdr:colOff>1009650</xdr:colOff>
                    <xdr:row>47</xdr:row>
                    <xdr:rowOff>123825</xdr:rowOff>
                  </from>
                  <to>
                    <xdr:col>0</xdr:col>
                    <xdr:colOff>1638300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6" name="Option Button 56">
              <controlPr locked="0" defaultSize="0" autoFill="0" autoLine="0" autoPict="0">
                <anchor moveWithCells="1">
                  <from>
                    <xdr:col>0</xdr:col>
                    <xdr:colOff>1819275</xdr:colOff>
                    <xdr:row>47</xdr:row>
                    <xdr:rowOff>123825</xdr:rowOff>
                  </from>
                  <to>
                    <xdr:col>0</xdr:col>
                    <xdr:colOff>2447925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7" name="Group Box 57">
              <controlPr locked="0" defaultSize="0" autoFill="0" autoPict="0">
                <anchor moveWithCells="1">
                  <from>
                    <xdr:col>0</xdr:col>
                    <xdr:colOff>142875</xdr:colOff>
                    <xdr:row>51</xdr:row>
                    <xdr:rowOff>76200</xdr:rowOff>
                  </from>
                  <to>
                    <xdr:col>0</xdr:col>
                    <xdr:colOff>2495550</xdr:colOff>
                    <xdr:row>53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8" name="Option Button 58">
              <controlPr locked="0" defaultSize="0" autoFill="0" autoLine="0" autoPict="0">
                <anchor moveWithCells="1">
                  <from>
                    <xdr:col>0</xdr:col>
                    <xdr:colOff>209550</xdr:colOff>
                    <xdr:row>51</xdr:row>
                    <xdr:rowOff>123825</xdr:rowOff>
                  </from>
                  <to>
                    <xdr:col>0</xdr:col>
                    <xdr:colOff>838200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9" name="Option Button 59">
              <controlPr locked="0" defaultSize="0" autoFill="0" autoLine="0" autoPict="0">
                <anchor moveWithCells="1">
                  <from>
                    <xdr:col>0</xdr:col>
                    <xdr:colOff>1019175</xdr:colOff>
                    <xdr:row>51</xdr:row>
                    <xdr:rowOff>123825</xdr:rowOff>
                  </from>
                  <to>
                    <xdr:col>0</xdr:col>
                    <xdr:colOff>1647825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10" name="Option Button 60">
              <controlPr locked="0" defaultSize="0" autoFill="0" autoLine="0" autoPict="0">
                <anchor moveWithCells="1">
                  <from>
                    <xdr:col>0</xdr:col>
                    <xdr:colOff>1819275</xdr:colOff>
                    <xdr:row>51</xdr:row>
                    <xdr:rowOff>123825</xdr:rowOff>
                  </from>
                  <to>
                    <xdr:col>0</xdr:col>
                    <xdr:colOff>2447925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11" name="Group Box 62">
              <controlPr locked="0" defaultSize="0" autoFill="0" autoPict="0">
                <anchor moveWithCells="1">
                  <from>
                    <xdr:col>0</xdr:col>
                    <xdr:colOff>142875</xdr:colOff>
                    <xdr:row>47</xdr:row>
                    <xdr:rowOff>66675</xdr:rowOff>
                  </from>
                  <to>
                    <xdr:col>0</xdr:col>
                    <xdr:colOff>2495550</xdr:colOff>
                    <xdr:row>49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12" name="Option Button 63">
              <controlPr locked="0" defaultSize="0" autoFill="0" autoLine="0" autoPict="0">
                <anchor moveWithCells="1">
                  <from>
                    <xdr:col>0</xdr:col>
                    <xdr:colOff>209550</xdr:colOff>
                    <xdr:row>43</xdr:row>
                    <xdr:rowOff>133350</xdr:rowOff>
                  </from>
                  <to>
                    <xdr:col>0</xdr:col>
                    <xdr:colOff>838200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13" name="Option Button 64">
              <controlPr locked="0" defaultSize="0" autoFill="0" autoLine="0" autoPict="0">
                <anchor moveWithCells="1">
                  <from>
                    <xdr:col>0</xdr:col>
                    <xdr:colOff>1019175</xdr:colOff>
                    <xdr:row>43</xdr:row>
                    <xdr:rowOff>133350</xdr:rowOff>
                  </from>
                  <to>
                    <xdr:col>0</xdr:col>
                    <xdr:colOff>1647825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14" name="Option Button 65">
              <controlPr locked="0" defaultSize="0" autoFill="0" autoLine="0" autoPict="0">
                <anchor moveWithCells="1">
                  <from>
                    <xdr:col>0</xdr:col>
                    <xdr:colOff>1828800</xdr:colOff>
                    <xdr:row>43</xdr:row>
                    <xdr:rowOff>133350</xdr:rowOff>
                  </from>
                  <to>
                    <xdr:col>0</xdr:col>
                    <xdr:colOff>2457450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15" name="Group Box 66">
              <controlPr locked="0" defaultSize="0" autoFill="0" autoPict="0">
                <anchor moveWithCells="1">
                  <from>
                    <xdr:col>0</xdr:col>
                    <xdr:colOff>152400</xdr:colOff>
                    <xdr:row>43</xdr:row>
                    <xdr:rowOff>76200</xdr:rowOff>
                  </from>
                  <to>
                    <xdr:col>0</xdr:col>
                    <xdr:colOff>2505075</xdr:colOff>
                    <xdr:row>45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C65"/>
  <sheetViews>
    <sheetView zoomScale="90" zoomScaleNormal="90" workbookViewId="0">
      <selection sqref="A1:C1"/>
    </sheetView>
  </sheetViews>
  <sheetFormatPr defaultColWidth="9.140625" defaultRowHeight="12.75" x14ac:dyDescent="0.2"/>
  <cols>
    <col min="1" max="1" width="52.5703125" style="45" bestFit="1" customWidth="1"/>
    <col min="2" max="2" width="14.85546875" style="45" bestFit="1" customWidth="1"/>
    <col min="3" max="3" width="70.5703125" style="45" bestFit="1" customWidth="1"/>
    <col min="4" max="16384" width="9.140625" style="45"/>
  </cols>
  <sheetData>
    <row r="1" spans="1:3" ht="16.5" thickBot="1" x14ac:dyDescent="0.25">
      <c r="A1" s="415" t="s">
        <v>4</v>
      </c>
      <c r="B1" s="416"/>
      <c r="C1" s="416"/>
    </row>
    <row r="3" spans="1:3" x14ac:dyDescent="0.2">
      <c r="A3" s="157" t="s">
        <v>280</v>
      </c>
      <c r="B3" s="157" t="s">
        <v>130</v>
      </c>
      <c r="C3" s="157" t="s">
        <v>281</v>
      </c>
    </row>
    <row r="4" spans="1:3" x14ac:dyDescent="0.2">
      <c r="A4" s="365"/>
      <c r="B4" s="287"/>
      <c r="C4" s="380"/>
    </row>
    <row r="5" spans="1:3" x14ac:dyDescent="0.2">
      <c r="A5" s="365"/>
      <c r="B5" s="287"/>
      <c r="C5" s="365"/>
    </row>
    <row r="6" spans="1:3" x14ac:dyDescent="0.2">
      <c r="A6" s="365"/>
      <c r="B6" s="365"/>
      <c r="C6" s="365"/>
    </row>
    <row r="7" spans="1:3" x14ac:dyDescent="0.2">
      <c r="A7" s="365"/>
      <c r="B7" s="365"/>
      <c r="C7" s="365"/>
    </row>
    <row r="8" spans="1:3" x14ac:dyDescent="0.2">
      <c r="A8" s="365"/>
      <c r="B8" s="287"/>
      <c r="C8" s="380"/>
    </row>
    <row r="9" spans="1:3" x14ac:dyDescent="0.2">
      <c r="A9" s="365"/>
      <c r="B9" s="287"/>
      <c r="C9" s="365"/>
    </row>
    <row r="10" spans="1:3" x14ac:dyDescent="0.2">
      <c r="A10" s="365"/>
      <c r="B10" s="287"/>
      <c r="C10" s="380"/>
    </row>
    <row r="11" spans="1:3" x14ac:dyDescent="0.2">
      <c r="A11" s="365"/>
      <c r="B11" s="287"/>
      <c r="C11" s="365"/>
    </row>
    <row r="12" spans="1:3" x14ac:dyDescent="0.2">
      <c r="A12" s="365"/>
      <c r="B12" s="287"/>
      <c r="C12" s="380"/>
    </row>
    <row r="13" spans="1:3" x14ac:dyDescent="0.2">
      <c r="A13" s="365"/>
      <c r="B13" s="287"/>
      <c r="C13" s="365"/>
    </row>
    <row r="14" spans="1:3" x14ac:dyDescent="0.2">
      <c r="A14" s="365"/>
      <c r="B14" s="287"/>
      <c r="C14" s="380"/>
    </row>
    <row r="15" spans="1:3" x14ac:dyDescent="0.2">
      <c r="A15" s="365"/>
      <c r="B15" s="287"/>
      <c r="C15" s="365"/>
    </row>
    <row r="16" spans="1:3" x14ac:dyDescent="0.2">
      <c r="A16" s="365"/>
      <c r="B16" s="287"/>
      <c r="C16" s="380"/>
    </row>
    <row r="17" spans="1:3" x14ac:dyDescent="0.2">
      <c r="A17" s="365"/>
      <c r="B17" s="287"/>
      <c r="C17" s="365"/>
    </row>
    <row r="18" spans="1:3" x14ac:dyDescent="0.2">
      <c r="A18" s="365"/>
      <c r="B18" s="287"/>
      <c r="C18" s="380"/>
    </row>
    <row r="19" spans="1:3" x14ac:dyDescent="0.2">
      <c r="A19" s="365"/>
      <c r="B19" s="287"/>
      <c r="C19" s="365"/>
    </row>
    <row r="20" spans="1:3" x14ac:dyDescent="0.2">
      <c r="A20" s="365"/>
      <c r="B20" s="287"/>
      <c r="C20" s="380"/>
    </row>
    <row r="21" spans="1:3" x14ac:dyDescent="0.2">
      <c r="A21" s="365"/>
      <c r="B21" s="287"/>
      <c r="C21" s="365"/>
    </row>
    <row r="22" spans="1:3" x14ac:dyDescent="0.2">
      <c r="A22" s="365"/>
      <c r="B22" s="287"/>
      <c r="C22" s="380"/>
    </row>
    <row r="23" spans="1:3" x14ac:dyDescent="0.2">
      <c r="A23" s="365"/>
      <c r="B23" s="287"/>
      <c r="C23" s="365"/>
    </row>
    <row r="24" spans="1:3" x14ac:dyDescent="0.2">
      <c r="A24" s="365"/>
      <c r="B24" s="287"/>
      <c r="C24" s="380"/>
    </row>
    <row r="25" spans="1:3" x14ac:dyDescent="0.2">
      <c r="A25" s="365"/>
      <c r="B25" s="287"/>
      <c r="C25" s="365"/>
    </row>
    <row r="26" spans="1:3" x14ac:dyDescent="0.2">
      <c r="A26" s="365"/>
      <c r="B26" s="287"/>
      <c r="C26" s="380"/>
    </row>
    <row r="27" spans="1:3" x14ac:dyDescent="0.2">
      <c r="A27" s="365"/>
      <c r="B27" s="287"/>
      <c r="C27" s="365"/>
    </row>
    <row r="28" spans="1:3" x14ac:dyDescent="0.2">
      <c r="A28" s="365"/>
      <c r="B28" s="365"/>
      <c r="C28" s="365"/>
    </row>
    <row r="29" spans="1:3" x14ac:dyDescent="0.2">
      <c r="A29" s="365"/>
      <c r="B29" s="365"/>
      <c r="C29" s="365"/>
    </row>
    <row r="30" spans="1:3" x14ac:dyDescent="0.2">
      <c r="A30" s="365"/>
      <c r="B30" s="365"/>
      <c r="C30" s="365"/>
    </row>
    <row r="31" spans="1:3" x14ac:dyDescent="0.2">
      <c r="A31" s="365"/>
      <c r="B31" s="365"/>
      <c r="C31" s="365"/>
    </row>
    <row r="32" spans="1:3" x14ac:dyDescent="0.2">
      <c r="A32" s="365"/>
      <c r="B32" s="365"/>
      <c r="C32" s="365"/>
    </row>
    <row r="33" spans="1:3" x14ac:dyDescent="0.2">
      <c r="A33" s="365"/>
      <c r="B33" s="365"/>
      <c r="C33" s="365"/>
    </row>
    <row r="34" spans="1:3" x14ac:dyDescent="0.2">
      <c r="A34" s="365"/>
      <c r="B34" s="287"/>
      <c r="C34" s="380"/>
    </row>
    <row r="35" spans="1:3" x14ac:dyDescent="0.2">
      <c r="A35" s="365"/>
      <c r="B35" s="287"/>
      <c r="C35" s="365"/>
    </row>
    <row r="36" spans="1:3" x14ac:dyDescent="0.2">
      <c r="A36" s="287"/>
      <c r="B36" s="287"/>
      <c r="C36" s="288"/>
    </row>
    <row r="37" spans="1:3" x14ac:dyDescent="0.2">
      <c r="A37" s="287"/>
      <c r="B37" s="287"/>
      <c r="C37" s="288"/>
    </row>
    <row r="38" spans="1:3" x14ac:dyDescent="0.2">
      <c r="A38" s="287"/>
      <c r="B38" s="287"/>
      <c r="C38" s="288"/>
    </row>
    <row r="39" spans="1:3" x14ac:dyDescent="0.2">
      <c r="A39" s="287"/>
      <c r="B39" s="287"/>
      <c r="C39" s="288"/>
    </row>
    <row r="40" spans="1:3" x14ac:dyDescent="0.2">
      <c r="A40" s="287"/>
      <c r="B40" s="287"/>
      <c r="C40" s="288"/>
    </row>
    <row r="41" spans="1:3" x14ac:dyDescent="0.2">
      <c r="A41" s="287"/>
      <c r="B41" s="287"/>
      <c r="C41" s="288"/>
    </row>
    <row r="42" spans="1:3" x14ac:dyDescent="0.2">
      <c r="A42" s="287"/>
      <c r="B42" s="287"/>
      <c r="C42" s="288"/>
    </row>
    <row r="43" spans="1:3" x14ac:dyDescent="0.2">
      <c r="A43" s="287"/>
      <c r="B43" s="287"/>
      <c r="C43" s="288"/>
    </row>
    <row r="44" spans="1:3" x14ac:dyDescent="0.2">
      <c r="A44" s="287"/>
      <c r="B44" s="287"/>
      <c r="C44" s="288"/>
    </row>
    <row r="45" spans="1:3" x14ac:dyDescent="0.2">
      <c r="A45" s="287"/>
      <c r="B45" s="287"/>
      <c r="C45" s="288"/>
    </row>
    <row r="46" spans="1:3" x14ac:dyDescent="0.2">
      <c r="A46" s="287"/>
      <c r="B46" s="287"/>
      <c r="C46" s="288"/>
    </row>
    <row r="47" spans="1:3" x14ac:dyDescent="0.2">
      <c r="A47" s="287"/>
      <c r="B47" s="287"/>
      <c r="C47" s="288"/>
    </row>
    <row r="48" spans="1:3" x14ac:dyDescent="0.2">
      <c r="A48" s="287"/>
      <c r="B48" s="287"/>
      <c r="C48" s="288"/>
    </row>
    <row r="49" spans="1:3" x14ac:dyDescent="0.2">
      <c r="A49" s="287"/>
      <c r="B49" s="287"/>
      <c r="C49" s="288"/>
    </row>
    <row r="50" spans="1:3" x14ac:dyDescent="0.2">
      <c r="A50" s="287"/>
      <c r="B50" s="287"/>
      <c r="C50" s="288"/>
    </row>
    <row r="51" spans="1:3" x14ac:dyDescent="0.2">
      <c r="A51" s="287"/>
      <c r="B51" s="287"/>
      <c r="C51" s="288"/>
    </row>
    <row r="52" spans="1:3" x14ac:dyDescent="0.2">
      <c r="A52" s="287"/>
      <c r="B52" s="287"/>
      <c r="C52" s="288"/>
    </row>
    <row r="53" spans="1:3" x14ac:dyDescent="0.2">
      <c r="A53" s="287"/>
      <c r="B53" s="287"/>
      <c r="C53" s="288"/>
    </row>
    <row r="54" spans="1:3" x14ac:dyDescent="0.2">
      <c r="A54" s="287"/>
      <c r="B54" s="287"/>
      <c r="C54" s="288"/>
    </row>
    <row r="55" spans="1:3" x14ac:dyDescent="0.2">
      <c r="A55" s="287"/>
      <c r="B55" s="287"/>
      <c r="C55" s="288"/>
    </row>
    <row r="56" spans="1:3" x14ac:dyDescent="0.2">
      <c r="A56" s="287"/>
      <c r="B56" s="287"/>
      <c r="C56" s="288"/>
    </row>
    <row r="57" spans="1:3" x14ac:dyDescent="0.2">
      <c r="A57" s="287"/>
      <c r="B57" s="287"/>
      <c r="C57" s="288"/>
    </row>
    <row r="58" spans="1:3" x14ac:dyDescent="0.2">
      <c r="A58" s="287"/>
      <c r="B58" s="287"/>
      <c r="C58" s="288"/>
    </row>
    <row r="59" spans="1:3" x14ac:dyDescent="0.2">
      <c r="A59" s="287"/>
      <c r="B59" s="287"/>
      <c r="C59" s="288"/>
    </row>
    <row r="60" spans="1:3" x14ac:dyDescent="0.2">
      <c r="A60" s="287"/>
      <c r="B60" s="287"/>
      <c r="C60" s="288"/>
    </row>
    <row r="61" spans="1:3" x14ac:dyDescent="0.2">
      <c r="A61" s="287"/>
      <c r="B61" s="287"/>
      <c r="C61" s="288"/>
    </row>
    <row r="62" spans="1:3" x14ac:dyDescent="0.2">
      <c r="A62" s="287"/>
      <c r="B62" s="287"/>
      <c r="C62" s="288"/>
    </row>
    <row r="63" spans="1:3" x14ac:dyDescent="0.2">
      <c r="A63" s="287"/>
      <c r="B63" s="287"/>
      <c r="C63" s="288"/>
    </row>
    <row r="64" spans="1:3" x14ac:dyDescent="0.2">
      <c r="A64" s="287"/>
      <c r="B64" s="287"/>
      <c r="C64" s="287"/>
    </row>
    <row r="65" spans="1:3" x14ac:dyDescent="0.2">
      <c r="A65" s="287"/>
      <c r="B65" s="287"/>
      <c r="C65" s="287"/>
    </row>
  </sheetData>
  <sheetProtection password="EBD9" sheet="1" objects="1" scenarios="1" insertRows="0" deleteRows="0"/>
  <mergeCells count="1">
    <mergeCell ref="A1:C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Misselaneuos!$A$5:$A$16</xm:f>
          </x14:formula1>
          <xm:sqref>B4:B65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K44"/>
  <sheetViews>
    <sheetView zoomScaleNormal="100" workbookViewId="0">
      <selection sqref="A1:B1"/>
    </sheetView>
  </sheetViews>
  <sheetFormatPr defaultColWidth="9.140625" defaultRowHeight="12.75" x14ac:dyDescent="0.2"/>
  <cols>
    <col min="1" max="1" width="9.140625" style="146"/>
    <col min="2" max="2" width="97.5703125" style="146" customWidth="1"/>
    <col min="3" max="16384" width="9.140625" style="146"/>
  </cols>
  <sheetData>
    <row r="1" spans="1:11" ht="16.5" thickBot="1" x14ac:dyDescent="0.3">
      <c r="A1" s="415" t="str">
        <f>"Assumptions and Comments " &amp;Instructions!C3</f>
        <v>Assumptions and Comments Ajustes para Termo de Moedas e Commodities</v>
      </c>
      <c r="B1" s="417"/>
      <c r="C1" s="145"/>
      <c r="D1" s="145"/>
      <c r="E1" s="145"/>
      <c r="F1" s="145"/>
      <c r="G1" s="145"/>
      <c r="H1" s="145"/>
      <c r="I1" s="145"/>
      <c r="J1" s="145"/>
      <c r="K1" s="145"/>
    </row>
    <row r="3" spans="1:11" ht="13.7" customHeight="1" x14ac:dyDescent="0.2">
      <c r="A3" s="498" t="s">
        <v>49</v>
      </c>
      <c r="B3" s="498"/>
    </row>
    <row r="4" spans="1:11" x14ac:dyDescent="0.2">
      <c r="A4" s="147"/>
      <c r="B4" s="148"/>
    </row>
    <row r="5" spans="1:11" x14ac:dyDescent="0.2">
      <c r="A5" s="147">
        <v>1</v>
      </c>
      <c r="B5" s="289"/>
    </row>
    <row r="6" spans="1:11" x14ac:dyDescent="0.2">
      <c r="A6" s="147">
        <f t="shared" ref="A6:A44" si="0">A5+1</f>
        <v>2</v>
      </c>
      <c r="B6" s="289"/>
    </row>
    <row r="7" spans="1:11" x14ac:dyDescent="0.2">
      <c r="A7" s="147">
        <f t="shared" si="0"/>
        <v>3</v>
      </c>
      <c r="B7" s="289"/>
    </row>
    <row r="8" spans="1:11" x14ac:dyDescent="0.2">
      <c r="A8" s="147">
        <f t="shared" si="0"/>
        <v>4</v>
      </c>
      <c r="B8" s="289"/>
    </row>
    <row r="9" spans="1:11" x14ac:dyDescent="0.2">
      <c r="A9" s="147">
        <f t="shared" si="0"/>
        <v>5</v>
      </c>
      <c r="B9" s="289"/>
    </row>
    <row r="10" spans="1:11" x14ac:dyDescent="0.2">
      <c r="A10" s="147">
        <f t="shared" si="0"/>
        <v>6</v>
      </c>
      <c r="B10" s="289"/>
    </row>
    <row r="11" spans="1:11" x14ac:dyDescent="0.2">
      <c r="A11" s="147">
        <f t="shared" si="0"/>
        <v>7</v>
      </c>
      <c r="B11" s="289"/>
    </row>
    <row r="12" spans="1:11" x14ac:dyDescent="0.2">
      <c r="A12" s="147">
        <f t="shared" si="0"/>
        <v>8</v>
      </c>
      <c r="B12" s="289"/>
    </row>
    <row r="13" spans="1:11" x14ac:dyDescent="0.2">
      <c r="A13" s="147">
        <f t="shared" si="0"/>
        <v>9</v>
      </c>
      <c r="B13" s="289"/>
    </row>
    <row r="14" spans="1:11" x14ac:dyDescent="0.2">
      <c r="A14" s="147">
        <f t="shared" si="0"/>
        <v>10</v>
      </c>
      <c r="B14" s="289"/>
    </row>
    <row r="15" spans="1:11" x14ac:dyDescent="0.2">
      <c r="A15" s="147">
        <f t="shared" si="0"/>
        <v>11</v>
      </c>
      <c r="B15" s="289"/>
    </row>
    <row r="16" spans="1:11" x14ac:dyDescent="0.2">
      <c r="A16" s="147">
        <f t="shared" si="0"/>
        <v>12</v>
      </c>
      <c r="B16" s="289"/>
    </row>
    <row r="17" spans="1:2" x14ac:dyDescent="0.2">
      <c r="A17" s="147">
        <f t="shared" si="0"/>
        <v>13</v>
      </c>
      <c r="B17" s="289"/>
    </row>
    <row r="18" spans="1:2" x14ac:dyDescent="0.2">
      <c r="A18" s="147">
        <f t="shared" si="0"/>
        <v>14</v>
      </c>
      <c r="B18" s="289"/>
    </row>
    <row r="19" spans="1:2" x14ac:dyDescent="0.2">
      <c r="A19" s="147">
        <f t="shared" si="0"/>
        <v>15</v>
      </c>
      <c r="B19" s="289"/>
    </row>
    <row r="20" spans="1:2" x14ac:dyDescent="0.2">
      <c r="A20" s="147">
        <f t="shared" si="0"/>
        <v>16</v>
      </c>
      <c r="B20" s="289"/>
    </row>
    <row r="21" spans="1:2" x14ac:dyDescent="0.2">
      <c r="A21" s="147">
        <f t="shared" si="0"/>
        <v>17</v>
      </c>
      <c r="B21" s="289"/>
    </row>
    <row r="22" spans="1:2" x14ac:dyDescent="0.2">
      <c r="A22" s="147">
        <f t="shared" si="0"/>
        <v>18</v>
      </c>
      <c r="B22" s="289"/>
    </row>
    <row r="23" spans="1:2" x14ac:dyDescent="0.2">
      <c r="A23" s="147">
        <f t="shared" si="0"/>
        <v>19</v>
      </c>
      <c r="B23" s="289"/>
    </row>
    <row r="24" spans="1:2" x14ac:dyDescent="0.2">
      <c r="A24" s="147">
        <f t="shared" si="0"/>
        <v>20</v>
      </c>
      <c r="B24" s="289"/>
    </row>
    <row r="25" spans="1:2" x14ac:dyDescent="0.2">
      <c r="A25" s="147">
        <f t="shared" si="0"/>
        <v>21</v>
      </c>
      <c r="B25" s="289"/>
    </row>
    <row r="26" spans="1:2" x14ac:dyDescent="0.2">
      <c r="A26" s="147">
        <f t="shared" si="0"/>
        <v>22</v>
      </c>
      <c r="B26" s="289"/>
    </row>
    <row r="27" spans="1:2" x14ac:dyDescent="0.2">
      <c r="A27" s="147">
        <f t="shared" si="0"/>
        <v>23</v>
      </c>
      <c r="B27" s="289"/>
    </row>
    <row r="28" spans="1:2" x14ac:dyDescent="0.2">
      <c r="A28" s="147">
        <f t="shared" si="0"/>
        <v>24</v>
      </c>
      <c r="B28" s="289"/>
    </row>
    <row r="29" spans="1:2" x14ac:dyDescent="0.2">
      <c r="A29" s="147">
        <f t="shared" si="0"/>
        <v>25</v>
      </c>
      <c r="B29" s="289"/>
    </row>
    <row r="30" spans="1:2" x14ac:dyDescent="0.2">
      <c r="A30" s="147">
        <f t="shared" si="0"/>
        <v>26</v>
      </c>
      <c r="B30" s="289"/>
    </row>
    <row r="31" spans="1:2" x14ac:dyDescent="0.2">
      <c r="A31" s="147">
        <f t="shared" si="0"/>
        <v>27</v>
      </c>
      <c r="B31" s="289"/>
    </row>
    <row r="32" spans="1:2" x14ac:dyDescent="0.2">
      <c r="A32" s="147">
        <f t="shared" si="0"/>
        <v>28</v>
      </c>
      <c r="B32" s="289"/>
    </row>
    <row r="33" spans="1:2" x14ac:dyDescent="0.2">
      <c r="A33" s="147">
        <f t="shared" si="0"/>
        <v>29</v>
      </c>
      <c r="B33" s="289"/>
    </row>
    <row r="34" spans="1:2" x14ac:dyDescent="0.2">
      <c r="A34" s="147">
        <f t="shared" si="0"/>
        <v>30</v>
      </c>
      <c r="B34" s="289"/>
    </row>
    <row r="35" spans="1:2" x14ac:dyDescent="0.2">
      <c r="A35" s="147">
        <f t="shared" si="0"/>
        <v>31</v>
      </c>
      <c r="B35" s="289"/>
    </row>
    <row r="36" spans="1:2" x14ac:dyDescent="0.2">
      <c r="A36" s="147">
        <f t="shared" si="0"/>
        <v>32</v>
      </c>
      <c r="B36" s="289"/>
    </row>
    <row r="37" spans="1:2" x14ac:dyDescent="0.2">
      <c r="A37" s="147">
        <f t="shared" si="0"/>
        <v>33</v>
      </c>
      <c r="B37" s="289"/>
    </row>
    <row r="38" spans="1:2" x14ac:dyDescent="0.2">
      <c r="A38" s="147">
        <f t="shared" si="0"/>
        <v>34</v>
      </c>
      <c r="B38" s="289"/>
    </row>
    <row r="39" spans="1:2" x14ac:dyDescent="0.2">
      <c r="A39" s="147">
        <f t="shared" si="0"/>
        <v>35</v>
      </c>
      <c r="B39" s="289"/>
    </row>
    <row r="40" spans="1:2" x14ac:dyDescent="0.2">
      <c r="A40" s="147">
        <f t="shared" si="0"/>
        <v>36</v>
      </c>
      <c r="B40" s="289"/>
    </row>
    <row r="41" spans="1:2" x14ac:dyDescent="0.2">
      <c r="A41" s="147">
        <f t="shared" si="0"/>
        <v>37</v>
      </c>
      <c r="B41" s="289"/>
    </row>
    <row r="42" spans="1:2" x14ac:dyDescent="0.2">
      <c r="A42" s="147">
        <f t="shared" si="0"/>
        <v>38</v>
      </c>
      <c r="B42" s="289"/>
    </row>
    <row r="43" spans="1:2" x14ac:dyDescent="0.2">
      <c r="A43" s="147">
        <f t="shared" si="0"/>
        <v>39</v>
      </c>
      <c r="B43" s="289"/>
    </row>
    <row r="44" spans="1:2" x14ac:dyDescent="0.2">
      <c r="A44" s="147">
        <f t="shared" si="0"/>
        <v>40</v>
      </c>
      <c r="B44" s="289"/>
    </row>
  </sheetData>
  <sheetProtection password="EBD9" sheet="1" objects="1" scenarios="1" insertRows="0" deleteRows="0"/>
  <mergeCells count="2">
    <mergeCell ref="A1:B1"/>
    <mergeCell ref="A3:B3"/>
  </mergeCells>
  <phoneticPr fontId="0" type="noConversion"/>
  <pageMargins left="0.75" right="0.75" top="1" bottom="1" header="0.5" footer="0.5"/>
  <pageSetup orientation="landscape" horizontalDpi="200" r:id="rId1"/>
  <headerFooter alignWithMargins="0">
    <oddHeader>&amp;LEstimate Worksheet</oddHeader>
    <oddFooter>&amp;L&amp;BEDS Confidential&amp;B&amp;C&amp;D&amp;RPage &amp;P</oddFooter>
  </headerFooter>
  <ignoredErrors>
    <ignoredError sqref="A9:A24 A25:A44" unlocked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R62"/>
  <sheetViews>
    <sheetView workbookViewId="0">
      <selection sqref="A1:R1"/>
    </sheetView>
  </sheetViews>
  <sheetFormatPr defaultColWidth="9.140625" defaultRowHeight="12.75" x14ac:dyDescent="0.2"/>
  <cols>
    <col min="1" max="1" width="13.5703125" style="146" bestFit="1" customWidth="1"/>
    <col min="2" max="2" width="10.28515625" style="146" bestFit="1" customWidth="1"/>
    <col min="3" max="3" width="26.140625" style="146" bestFit="1" customWidth="1"/>
    <col min="4" max="4" width="6.28515625" style="146" bestFit="1" customWidth="1"/>
    <col min="5" max="5" width="7.28515625" style="146" bestFit="1" customWidth="1"/>
    <col min="6" max="6" width="22.7109375" style="146" bestFit="1" customWidth="1"/>
    <col min="7" max="9" width="9.140625" style="146"/>
    <col min="10" max="10" width="13" style="146" customWidth="1"/>
    <col min="11" max="11" width="40.140625" style="146" bestFit="1" customWidth="1"/>
    <col min="12" max="16384" width="9.140625" style="146"/>
  </cols>
  <sheetData>
    <row r="1" spans="1:18" ht="16.5" customHeight="1" thickBot="1" x14ac:dyDescent="0.25">
      <c r="A1" s="415" t="s">
        <v>266</v>
      </c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7"/>
    </row>
    <row r="2" spans="1:18" s="290" customFormat="1" ht="16.5" customHeight="1" thickBot="1" x14ac:dyDescent="0.25">
      <c r="A2" s="153"/>
      <c r="B2" s="153"/>
      <c r="C2" s="153"/>
      <c r="D2" s="153"/>
      <c r="E2" s="153"/>
      <c r="F2" s="153"/>
      <c r="G2" s="154"/>
      <c r="H2" s="154"/>
      <c r="I2" s="154"/>
      <c r="J2" s="154"/>
      <c r="K2" s="154"/>
      <c r="L2" s="154"/>
      <c r="M2" s="154"/>
      <c r="N2" s="154"/>
      <c r="O2" s="154"/>
      <c r="P2" s="154"/>
      <c r="Q2" s="154"/>
      <c r="R2" s="154"/>
    </row>
    <row r="3" spans="1:18" ht="23.25" thickBot="1" x14ac:dyDescent="0.25">
      <c r="A3" s="291" t="s">
        <v>210</v>
      </c>
      <c r="B3" s="291" t="s">
        <v>241</v>
      </c>
      <c r="C3" s="291" t="s">
        <v>242</v>
      </c>
      <c r="D3" s="383" t="s">
        <v>303</v>
      </c>
      <c r="E3" s="384" t="s">
        <v>304</v>
      </c>
      <c r="F3" s="293" t="s">
        <v>305</v>
      </c>
      <c r="G3" s="294"/>
      <c r="H3" s="294"/>
    </row>
    <row r="4" spans="1:18" ht="13.5" thickBot="1" x14ac:dyDescent="0.25">
      <c r="A4" s="499" t="s">
        <v>221</v>
      </c>
      <c r="B4" s="295" t="s">
        <v>243</v>
      </c>
      <c r="C4" s="296" t="s">
        <v>269</v>
      </c>
      <c r="D4" s="297">
        <v>1.4999999999999999E-2</v>
      </c>
      <c r="E4" s="388">
        <f>D4*0.33</f>
        <v>4.9500000000000004E-3</v>
      </c>
      <c r="F4" s="385" t="s">
        <v>227</v>
      </c>
      <c r="G4" s="294"/>
      <c r="H4" s="294"/>
    </row>
    <row r="5" spans="1:18" ht="13.5" thickBot="1" x14ac:dyDescent="0.25">
      <c r="A5" s="500"/>
      <c r="B5" s="298" t="s">
        <v>230</v>
      </c>
      <c r="C5" s="299" t="s">
        <v>244</v>
      </c>
      <c r="D5" s="300">
        <v>1.4999999999999999E-2</v>
      </c>
      <c r="E5" s="388">
        <f t="shared" ref="E5:E7" si="0">D5*0.33</f>
        <v>4.9500000000000004E-3</v>
      </c>
      <c r="F5" s="321" t="s">
        <v>227</v>
      </c>
      <c r="G5" s="294"/>
      <c r="H5" s="294"/>
    </row>
    <row r="6" spans="1:18" ht="14.25" customHeight="1" thickBot="1" x14ac:dyDescent="0.25">
      <c r="A6" s="500"/>
      <c r="B6" s="392" t="s">
        <v>306</v>
      </c>
      <c r="C6" s="370" t="s">
        <v>287</v>
      </c>
      <c r="D6" s="311">
        <v>0.01</v>
      </c>
      <c r="E6" s="388">
        <f t="shared" si="0"/>
        <v>3.3000000000000004E-3</v>
      </c>
      <c r="F6" s="321" t="s">
        <v>226</v>
      </c>
      <c r="G6" s="294"/>
      <c r="H6" s="294"/>
    </row>
    <row r="7" spans="1:18" ht="13.5" thickBot="1" x14ac:dyDescent="0.25">
      <c r="A7" s="501"/>
      <c r="B7" s="389" t="s">
        <v>306</v>
      </c>
      <c r="C7" s="312" t="s">
        <v>211</v>
      </c>
      <c r="D7" s="302">
        <v>0.01</v>
      </c>
      <c r="E7" s="388">
        <f t="shared" si="0"/>
        <v>3.3000000000000004E-3</v>
      </c>
      <c r="F7" s="319" t="s">
        <v>226</v>
      </c>
      <c r="G7" s="294"/>
      <c r="H7" s="294"/>
    </row>
    <row r="8" spans="1:18" x14ac:dyDescent="0.2">
      <c r="A8" s="294"/>
      <c r="B8" s="294"/>
      <c r="C8" s="303"/>
      <c r="D8" s="304">
        <f>SUMIF(F4:F7,"Sim",D4:D7)</f>
        <v>0.02</v>
      </c>
      <c r="E8" s="304">
        <f>SUMIF(F4:F7,"Não",E4:E7)</f>
        <v>9.9000000000000008E-3</v>
      </c>
      <c r="F8" s="294"/>
      <c r="G8" s="294"/>
      <c r="H8" s="294"/>
    </row>
    <row r="9" spans="1:18" x14ac:dyDescent="0.2">
      <c r="A9" s="294"/>
      <c r="B9" s="294"/>
      <c r="C9" s="303"/>
      <c r="D9" s="386" t="s">
        <v>36</v>
      </c>
      <c r="E9" s="387">
        <f>SUM(D8:E8)</f>
        <v>2.9900000000000003E-2</v>
      </c>
      <c r="F9" s="294"/>
      <c r="G9" s="294"/>
      <c r="H9" s="294"/>
    </row>
    <row r="10" spans="1:18" ht="13.5" thickBot="1" x14ac:dyDescent="0.25">
      <c r="A10" s="294"/>
      <c r="B10" s="294"/>
      <c r="C10" s="303"/>
      <c r="D10" s="303"/>
      <c r="E10" s="303"/>
      <c r="F10" s="294"/>
      <c r="G10" s="294"/>
      <c r="H10" s="294"/>
    </row>
    <row r="11" spans="1:18" ht="13.5" thickBot="1" x14ac:dyDescent="0.25">
      <c r="A11" s="499" t="s">
        <v>216</v>
      </c>
      <c r="B11" s="307" t="s">
        <v>228</v>
      </c>
      <c r="C11" s="305" t="s">
        <v>245</v>
      </c>
      <c r="D11" s="297">
        <v>0.03</v>
      </c>
      <c r="E11" s="388">
        <f>D11*0.33</f>
        <v>9.9000000000000008E-3</v>
      </c>
      <c r="F11" s="317" t="s">
        <v>227</v>
      </c>
      <c r="G11" s="294"/>
    </row>
    <row r="12" spans="1:18" ht="13.5" thickBot="1" x14ac:dyDescent="0.25">
      <c r="A12" s="500"/>
      <c r="B12" s="381" t="s">
        <v>231</v>
      </c>
      <c r="C12" s="299" t="s">
        <v>246</v>
      </c>
      <c r="D12" s="300">
        <v>0.03</v>
      </c>
      <c r="E12" s="388">
        <f t="shared" ref="E12:E18" si="1">D12*0.33</f>
        <v>9.9000000000000008E-3</v>
      </c>
      <c r="F12" s="318" t="s">
        <v>227</v>
      </c>
      <c r="G12" s="294"/>
    </row>
    <row r="13" spans="1:18" ht="13.5" thickBot="1" x14ac:dyDescent="0.25">
      <c r="A13" s="500"/>
      <c r="B13" s="381" t="s">
        <v>229</v>
      </c>
      <c r="C13" s="299" t="s">
        <v>247</v>
      </c>
      <c r="D13" s="300">
        <v>0.03</v>
      </c>
      <c r="E13" s="388">
        <f t="shared" si="1"/>
        <v>9.9000000000000008E-3</v>
      </c>
      <c r="F13" s="318" t="s">
        <v>227</v>
      </c>
      <c r="G13" s="294"/>
    </row>
    <row r="14" spans="1:18" ht="13.5" thickBot="1" x14ac:dyDescent="0.25">
      <c r="A14" s="500"/>
      <c r="B14" s="381" t="s">
        <v>232</v>
      </c>
      <c r="C14" s="299" t="s">
        <v>248</v>
      </c>
      <c r="D14" s="300">
        <v>0.03</v>
      </c>
      <c r="E14" s="388">
        <f t="shared" si="1"/>
        <v>9.9000000000000008E-3</v>
      </c>
      <c r="F14" s="318" t="s">
        <v>227</v>
      </c>
      <c r="G14" s="294"/>
    </row>
    <row r="15" spans="1:18" ht="13.5" thickBot="1" x14ac:dyDescent="0.25">
      <c r="A15" s="500"/>
      <c r="B15" s="381" t="s">
        <v>250</v>
      </c>
      <c r="C15" s="299" t="s">
        <v>249</v>
      </c>
      <c r="D15" s="300">
        <v>0.05</v>
      </c>
      <c r="E15" s="388">
        <f t="shared" si="1"/>
        <v>1.6500000000000001E-2</v>
      </c>
      <c r="F15" s="318" t="s">
        <v>227</v>
      </c>
      <c r="G15" s="294"/>
    </row>
    <row r="16" spans="1:18" ht="13.5" thickBot="1" x14ac:dyDescent="0.25">
      <c r="A16" s="500"/>
      <c r="B16" s="298" t="s">
        <v>240</v>
      </c>
      <c r="C16" s="299" t="s">
        <v>251</v>
      </c>
      <c r="D16" s="311">
        <v>0.03</v>
      </c>
      <c r="E16" s="388">
        <f t="shared" si="1"/>
        <v>9.9000000000000008E-3</v>
      </c>
      <c r="F16" s="321" t="s">
        <v>226</v>
      </c>
      <c r="G16" s="294"/>
      <c r="H16" s="294"/>
    </row>
    <row r="17" spans="1:8" ht="13.5" thickBot="1" x14ac:dyDescent="0.25">
      <c r="A17" s="500"/>
      <c r="B17" s="392" t="s">
        <v>306</v>
      </c>
      <c r="C17" s="370" t="s">
        <v>288</v>
      </c>
      <c r="D17" s="311">
        <v>0.01</v>
      </c>
      <c r="E17" s="388">
        <f t="shared" si="1"/>
        <v>3.3000000000000004E-3</v>
      </c>
      <c r="F17" s="321" t="s">
        <v>226</v>
      </c>
      <c r="G17" s="294"/>
      <c r="H17" s="294"/>
    </row>
    <row r="18" spans="1:8" ht="13.5" thickBot="1" x14ac:dyDescent="0.25">
      <c r="A18" s="501"/>
      <c r="B18" s="389" t="s">
        <v>306</v>
      </c>
      <c r="C18" s="373" t="s">
        <v>289</v>
      </c>
      <c r="D18" s="302">
        <v>0.01</v>
      </c>
      <c r="E18" s="388">
        <f t="shared" si="1"/>
        <v>3.3000000000000004E-3</v>
      </c>
      <c r="F18" s="319" t="s">
        <v>226</v>
      </c>
      <c r="G18" s="294"/>
      <c r="H18" s="294"/>
    </row>
    <row r="19" spans="1:8" x14ac:dyDescent="0.2">
      <c r="A19" s="294"/>
      <c r="B19" s="294"/>
      <c r="C19" s="303"/>
      <c r="D19" s="304">
        <f>SUMIF(F11:F18,"Sim",D11:D18)</f>
        <v>0.05</v>
      </c>
      <c r="E19" s="304">
        <f>SUMIF(F11:F18,"Não",E11:E18)</f>
        <v>5.6100000000000004E-2</v>
      </c>
      <c r="F19" s="294"/>
      <c r="G19" s="294"/>
      <c r="H19" s="294"/>
    </row>
    <row r="20" spans="1:8" x14ac:dyDescent="0.2">
      <c r="A20" s="294"/>
      <c r="B20" s="294"/>
      <c r="C20" s="303"/>
      <c r="D20" s="386" t="s">
        <v>36</v>
      </c>
      <c r="E20" s="387">
        <f>SUM(D19:E19)</f>
        <v>0.1061</v>
      </c>
      <c r="F20" s="294"/>
      <c r="G20" s="294"/>
      <c r="H20" s="294"/>
    </row>
    <row r="21" spans="1:8" ht="13.5" thickBot="1" x14ac:dyDescent="0.25">
      <c r="A21" s="294"/>
      <c r="B21" s="294"/>
      <c r="C21" s="303"/>
      <c r="D21" s="303"/>
      <c r="E21" s="303"/>
      <c r="F21" s="294"/>
      <c r="G21" s="294"/>
      <c r="H21" s="294"/>
    </row>
    <row r="22" spans="1:8" ht="13.5" thickBot="1" x14ac:dyDescent="0.25">
      <c r="A22" s="499" t="s">
        <v>222</v>
      </c>
      <c r="B22" s="307" t="s">
        <v>235</v>
      </c>
      <c r="C22" s="296" t="s">
        <v>252</v>
      </c>
      <c r="D22" s="297">
        <v>5.9499999999999997E-2</v>
      </c>
      <c r="E22" s="388">
        <f>D22*0.33</f>
        <v>1.9635E-2</v>
      </c>
      <c r="F22" s="317" t="s">
        <v>226</v>
      </c>
      <c r="G22" s="294"/>
      <c r="H22" s="294"/>
    </row>
    <row r="23" spans="1:8" ht="13.5" thickBot="1" x14ac:dyDescent="0.25">
      <c r="A23" s="500"/>
      <c r="B23" s="298" t="s">
        <v>236</v>
      </c>
      <c r="C23" s="299" t="s">
        <v>253</v>
      </c>
      <c r="D23" s="300">
        <v>4.2500000000000003E-2</v>
      </c>
      <c r="E23" s="388">
        <f t="shared" ref="E23:E26" si="2">D23*0.33</f>
        <v>1.4025000000000001E-2</v>
      </c>
      <c r="F23" s="318" t="s">
        <v>226</v>
      </c>
      <c r="G23" s="294"/>
      <c r="H23" s="294"/>
    </row>
    <row r="24" spans="1:8" ht="13.5" thickBot="1" x14ac:dyDescent="0.25">
      <c r="A24" s="500"/>
      <c r="B24" s="298" t="s">
        <v>233</v>
      </c>
      <c r="C24" s="299" t="s">
        <v>264</v>
      </c>
      <c r="D24" s="300">
        <v>3.4000000000000002E-2</v>
      </c>
      <c r="E24" s="388">
        <f t="shared" si="2"/>
        <v>1.1220000000000001E-2</v>
      </c>
      <c r="F24" s="318" t="s">
        <v>227</v>
      </c>
      <c r="G24" s="294"/>
      <c r="H24" s="294"/>
    </row>
    <row r="25" spans="1:8" ht="13.5" thickBot="1" x14ac:dyDescent="0.25">
      <c r="A25" s="500"/>
      <c r="B25" s="298" t="s">
        <v>234</v>
      </c>
      <c r="C25" s="368" t="s">
        <v>254</v>
      </c>
      <c r="D25" s="369">
        <v>3.4000000000000002E-2</v>
      </c>
      <c r="E25" s="388">
        <f t="shared" si="2"/>
        <v>1.1220000000000001E-2</v>
      </c>
      <c r="F25" s="321" t="s">
        <v>227</v>
      </c>
      <c r="G25" s="294"/>
      <c r="H25" s="294"/>
    </row>
    <row r="26" spans="1:8" ht="13.5" thickBot="1" x14ac:dyDescent="0.25">
      <c r="A26" s="501"/>
      <c r="B26" s="389" t="s">
        <v>306</v>
      </c>
      <c r="C26" s="372" t="s">
        <v>290</v>
      </c>
      <c r="D26" s="308">
        <v>0.01</v>
      </c>
      <c r="E26" s="388">
        <f t="shared" si="2"/>
        <v>3.3000000000000004E-3</v>
      </c>
      <c r="F26" s="319" t="s">
        <v>226</v>
      </c>
      <c r="G26" s="294"/>
      <c r="H26" s="294"/>
    </row>
    <row r="27" spans="1:8" x14ac:dyDescent="0.2">
      <c r="A27" s="294"/>
      <c r="B27" s="294"/>
      <c r="C27" s="294"/>
      <c r="D27" s="304">
        <f>SUMIF(F22:F26,"Sim",D22:D26)</f>
        <v>0.112</v>
      </c>
      <c r="E27" s="304">
        <f>SUMIF(F22:F26,"Não",E22:E26)</f>
        <v>2.2440000000000002E-2</v>
      </c>
      <c r="F27" s="294"/>
      <c r="G27" s="294"/>
      <c r="H27" s="294"/>
    </row>
    <row r="28" spans="1:8" x14ac:dyDescent="0.2">
      <c r="A28" s="294"/>
      <c r="B28" s="294"/>
      <c r="C28" s="294"/>
      <c r="D28" s="386" t="s">
        <v>36</v>
      </c>
      <c r="E28" s="387">
        <f>SUM(D27:E27)</f>
        <v>0.13444</v>
      </c>
      <c r="F28" s="294"/>
      <c r="G28" s="294"/>
      <c r="H28" s="294"/>
    </row>
    <row r="29" spans="1:8" ht="13.5" thickBot="1" x14ac:dyDescent="0.25">
      <c r="A29" s="294"/>
      <c r="B29" s="294"/>
      <c r="C29" s="291"/>
      <c r="D29" s="291"/>
      <c r="E29" s="291"/>
      <c r="F29" s="291"/>
      <c r="G29" s="294"/>
      <c r="H29" s="294"/>
    </row>
    <row r="30" spans="1:8" ht="13.5" thickBot="1" x14ac:dyDescent="0.25">
      <c r="A30" s="502" t="s">
        <v>223</v>
      </c>
      <c r="B30" s="309" t="s">
        <v>263</v>
      </c>
      <c r="C30" s="296" t="s">
        <v>237</v>
      </c>
      <c r="D30" s="297">
        <v>0.24</v>
      </c>
      <c r="E30" s="388">
        <f>D30*0.33</f>
        <v>7.9200000000000007E-2</v>
      </c>
      <c r="F30" s="317" t="s">
        <v>226</v>
      </c>
      <c r="G30" s="294"/>
      <c r="H30" s="294"/>
    </row>
    <row r="31" spans="1:8" ht="13.5" thickBot="1" x14ac:dyDescent="0.25">
      <c r="A31" s="503"/>
      <c r="B31" s="310" t="s">
        <v>238</v>
      </c>
      <c r="C31" s="299" t="s">
        <v>265</v>
      </c>
      <c r="D31" s="330">
        <v>0.06</v>
      </c>
      <c r="E31" s="388">
        <f t="shared" ref="E31:E36" si="3">D31*0.33</f>
        <v>1.9800000000000002E-2</v>
      </c>
      <c r="F31" s="321" t="s">
        <v>226</v>
      </c>
      <c r="G31" s="294"/>
      <c r="H31" s="294"/>
    </row>
    <row r="32" spans="1:8" ht="13.5" thickBot="1" x14ac:dyDescent="0.25">
      <c r="A32" s="503"/>
      <c r="B32" s="392" t="s">
        <v>306</v>
      </c>
      <c r="C32" s="370" t="s">
        <v>295</v>
      </c>
      <c r="D32" s="330">
        <v>0.01</v>
      </c>
      <c r="E32" s="388">
        <f t="shared" si="3"/>
        <v>3.3000000000000004E-3</v>
      </c>
      <c r="F32" s="321" t="s">
        <v>226</v>
      </c>
      <c r="G32" s="294"/>
      <c r="H32" s="294"/>
    </row>
    <row r="33" spans="1:8" ht="23.25" thickBot="1" x14ac:dyDescent="0.25">
      <c r="A33" s="503"/>
      <c r="B33" s="392" t="s">
        <v>306</v>
      </c>
      <c r="C33" s="370" t="s">
        <v>291</v>
      </c>
      <c r="D33" s="330">
        <v>0.01</v>
      </c>
      <c r="E33" s="388">
        <f t="shared" si="3"/>
        <v>3.3000000000000004E-3</v>
      </c>
      <c r="F33" s="321" t="s">
        <v>226</v>
      </c>
      <c r="G33" s="294"/>
      <c r="H33" s="294"/>
    </row>
    <row r="34" spans="1:8" ht="23.25" thickBot="1" x14ac:dyDescent="0.25">
      <c r="A34" s="503"/>
      <c r="B34" s="392" t="s">
        <v>306</v>
      </c>
      <c r="C34" s="370" t="s">
        <v>292</v>
      </c>
      <c r="D34" s="330">
        <v>0.01</v>
      </c>
      <c r="E34" s="388">
        <f t="shared" si="3"/>
        <v>3.3000000000000004E-3</v>
      </c>
      <c r="F34" s="321" t="s">
        <v>226</v>
      </c>
      <c r="G34" s="294"/>
      <c r="H34" s="294"/>
    </row>
    <row r="35" spans="1:8" ht="13.5" thickBot="1" x14ac:dyDescent="0.25">
      <c r="A35" s="503"/>
      <c r="B35" s="390" t="s">
        <v>306</v>
      </c>
      <c r="C35" s="370" t="s">
        <v>293</v>
      </c>
      <c r="D35" s="330">
        <v>0.01</v>
      </c>
      <c r="E35" s="388">
        <f t="shared" si="3"/>
        <v>3.3000000000000004E-3</v>
      </c>
      <c r="F35" s="321" t="s">
        <v>226</v>
      </c>
      <c r="G35" s="294"/>
      <c r="H35" s="294"/>
    </row>
    <row r="36" spans="1:8" ht="13.5" thickBot="1" x14ac:dyDescent="0.25">
      <c r="A36" s="504"/>
      <c r="B36" s="389" t="s">
        <v>306</v>
      </c>
      <c r="C36" s="372" t="s">
        <v>290</v>
      </c>
      <c r="D36" s="308">
        <v>0.01</v>
      </c>
      <c r="E36" s="388">
        <f t="shared" si="3"/>
        <v>3.3000000000000004E-3</v>
      </c>
      <c r="F36" s="320" t="s">
        <v>226</v>
      </c>
      <c r="G36" s="294"/>
      <c r="H36" s="294"/>
    </row>
    <row r="37" spans="1:8" x14ac:dyDescent="0.2">
      <c r="A37" s="294"/>
      <c r="B37" s="294"/>
      <c r="C37" s="294"/>
      <c r="D37" s="304">
        <f>SUMIF(F30:F36,"Sim",D30:D36)</f>
        <v>0.35000000000000003</v>
      </c>
      <c r="E37" s="304">
        <f>SUMIF(F30:F36,"Não",E30:E36)</f>
        <v>0</v>
      </c>
      <c r="F37" s="294"/>
      <c r="G37" s="294"/>
      <c r="H37" s="294"/>
    </row>
    <row r="38" spans="1:8" x14ac:dyDescent="0.2">
      <c r="A38" s="294"/>
      <c r="B38" s="294"/>
      <c r="C38" s="294"/>
      <c r="D38" s="386" t="s">
        <v>36</v>
      </c>
      <c r="E38" s="387">
        <f>SUM(D37:E37)</f>
        <v>0.35000000000000003</v>
      </c>
      <c r="F38" s="294"/>
      <c r="G38" s="294"/>
      <c r="H38" s="294"/>
    </row>
    <row r="39" spans="1:8" ht="13.5" thickBot="1" x14ac:dyDescent="0.25">
      <c r="A39" s="294"/>
      <c r="B39" s="294"/>
      <c r="C39" s="294"/>
      <c r="D39" s="294"/>
      <c r="E39" s="294"/>
      <c r="F39" s="294"/>
      <c r="G39" s="294"/>
      <c r="H39" s="294"/>
    </row>
    <row r="40" spans="1:8" ht="23.25" thickBot="1" x14ac:dyDescent="0.25">
      <c r="A40" s="499" t="s">
        <v>239</v>
      </c>
      <c r="B40" s="391" t="s">
        <v>306</v>
      </c>
      <c r="C40" s="378" t="s">
        <v>299</v>
      </c>
      <c r="D40" s="297">
        <v>0.01</v>
      </c>
      <c r="E40" s="388">
        <f>D40*0.33</f>
        <v>3.3000000000000004E-3</v>
      </c>
      <c r="F40" s="317" t="s">
        <v>227</v>
      </c>
      <c r="G40" s="294"/>
      <c r="H40" s="294"/>
    </row>
    <row r="41" spans="1:8" ht="13.5" thickBot="1" x14ac:dyDescent="0.25">
      <c r="A41" s="500"/>
      <c r="B41" s="376" t="s">
        <v>255</v>
      </c>
      <c r="C41" s="377" t="s">
        <v>296</v>
      </c>
      <c r="D41" s="300">
        <v>3.5000000000000003E-2</v>
      </c>
      <c r="E41" s="388">
        <f t="shared" ref="E41:E44" si="4">D41*0.33</f>
        <v>1.1550000000000001E-2</v>
      </c>
      <c r="F41" s="318" t="s">
        <v>226</v>
      </c>
      <c r="G41" s="294"/>
      <c r="H41" s="294"/>
    </row>
    <row r="42" spans="1:8" ht="13.5" thickBot="1" x14ac:dyDescent="0.25">
      <c r="A42" s="500"/>
      <c r="B42" s="310" t="s">
        <v>256</v>
      </c>
      <c r="C42" s="299" t="s">
        <v>297</v>
      </c>
      <c r="D42" s="311">
        <v>3.5000000000000003E-2</v>
      </c>
      <c r="E42" s="388">
        <f t="shared" si="4"/>
        <v>1.1550000000000001E-2</v>
      </c>
      <c r="F42" s="321" t="s">
        <v>227</v>
      </c>
      <c r="G42" s="294"/>
      <c r="H42" s="294"/>
    </row>
    <row r="43" spans="1:8" ht="13.5" thickBot="1" x14ac:dyDescent="0.25">
      <c r="A43" s="500"/>
      <c r="B43" s="310" t="s">
        <v>257</v>
      </c>
      <c r="C43" s="299" t="s">
        <v>298</v>
      </c>
      <c r="D43" s="330">
        <v>0.03</v>
      </c>
      <c r="E43" s="388">
        <f t="shared" si="4"/>
        <v>9.9000000000000008E-3</v>
      </c>
      <c r="F43" s="321" t="s">
        <v>227</v>
      </c>
      <c r="G43" s="294"/>
      <c r="H43" s="294"/>
    </row>
    <row r="44" spans="1:8" ht="13.5" thickBot="1" x14ac:dyDescent="0.25">
      <c r="A44" s="501"/>
      <c r="B44" s="389" t="s">
        <v>306</v>
      </c>
      <c r="C44" s="373" t="s">
        <v>294</v>
      </c>
      <c r="D44" s="302">
        <v>0.01</v>
      </c>
      <c r="E44" s="388">
        <f t="shared" si="4"/>
        <v>3.3000000000000004E-3</v>
      </c>
      <c r="F44" s="319" t="s">
        <v>226</v>
      </c>
      <c r="G44" s="294"/>
      <c r="H44" s="294"/>
    </row>
    <row r="45" spans="1:8" x14ac:dyDescent="0.2">
      <c r="A45" s="294"/>
      <c r="B45" s="294"/>
      <c r="C45" s="294"/>
      <c r="D45" s="304">
        <f>SUMIF(F40:F44,"Sim",D40:D44)</f>
        <v>4.5000000000000005E-2</v>
      </c>
      <c r="E45" s="304">
        <f>SUMIF(F40:F44,"Não",E40:E44)</f>
        <v>2.4750000000000001E-2</v>
      </c>
      <c r="F45" s="294"/>
      <c r="G45" s="294"/>
      <c r="H45" s="294"/>
    </row>
    <row r="46" spans="1:8" x14ac:dyDescent="0.2">
      <c r="A46" s="294"/>
      <c r="B46" s="294"/>
      <c r="C46" s="294"/>
      <c r="D46" s="386" t="s">
        <v>36</v>
      </c>
      <c r="E46" s="387">
        <f>SUM(D45:E45)</f>
        <v>6.9750000000000006E-2</v>
      </c>
      <c r="F46" s="294"/>
      <c r="G46" s="294"/>
      <c r="H46" s="294"/>
    </row>
    <row r="47" spans="1:8" ht="13.5" thickBot="1" x14ac:dyDescent="0.25">
      <c r="A47" s="294"/>
      <c r="B47" s="294"/>
      <c r="C47" s="294"/>
      <c r="D47" s="294"/>
      <c r="E47" s="294"/>
      <c r="F47" s="294"/>
      <c r="G47" s="294"/>
      <c r="H47" s="294"/>
    </row>
    <row r="48" spans="1:8" ht="13.5" thickBot="1" x14ac:dyDescent="0.25">
      <c r="A48" s="499" t="s">
        <v>12</v>
      </c>
      <c r="B48" s="391" t="s">
        <v>306</v>
      </c>
      <c r="C48" s="378" t="s">
        <v>300</v>
      </c>
      <c r="D48" s="313">
        <v>0.01</v>
      </c>
      <c r="E48" s="388">
        <f>D48*0.33</f>
        <v>3.3000000000000004E-3</v>
      </c>
      <c r="F48" s="317" t="s">
        <v>227</v>
      </c>
      <c r="G48" s="294"/>
      <c r="H48" s="294"/>
    </row>
    <row r="49" spans="1:8" ht="13.5" thickBot="1" x14ac:dyDescent="0.25">
      <c r="A49" s="500"/>
      <c r="B49" s="376" t="s">
        <v>263</v>
      </c>
      <c r="C49" s="299" t="s">
        <v>301</v>
      </c>
      <c r="D49" s="311">
        <v>0</v>
      </c>
      <c r="E49" s="388">
        <f t="shared" ref="E49:E51" si="5">D49*0.33</f>
        <v>0</v>
      </c>
      <c r="F49" s="321" t="s">
        <v>226</v>
      </c>
      <c r="G49" s="294"/>
      <c r="H49" s="294"/>
    </row>
    <row r="50" spans="1:8" ht="13.5" thickBot="1" x14ac:dyDescent="0.25">
      <c r="A50" s="500"/>
      <c r="B50" s="375" t="s">
        <v>263</v>
      </c>
      <c r="C50" s="374" t="s">
        <v>302</v>
      </c>
      <c r="D50" s="379">
        <v>0</v>
      </c>
      <c r="E50" s="388">
        <f t="shared" si="5"/>
        <v>0</v>
      </c>
      <c r="F50" s="371" t="s">
        <v>227</v>
      </c>
      <c r="G50" s="294"/>
      <c r="H50" s="294"/>
    </row>
    <row r="51" spans="1:8" ht="13.5" thickBot="1" x14ac:dyDescent="0.25">
      <c r="A51" s="501"/>
      <c r="B51" s="314"/>
      <c r="C51" s="301" t="s">
        <v>258</v>
      </c>
      <c r="D51" s="315">
        <v>4.8000000000000001E-2</v>
      </c>
      <c r="E51" s="388">
        <f t="shared" si="5"/>
        <v>1.584E-2</v>
      </c>
      <c r="F51" s="320" t="s">
        <v>226</v>
      </c>
      <c r="G51" s="294"/>
      <c r="H51" s="294"/>
    </row>
    <row r="52" spans="1:8" x14ac:dyDescent="0.2">
      <c r="A52" s="294"/>
      <c r="B52" s="294"/>
      <c r="C52" s="294"/>
      <c r="D52" s="304">
        <f>SUMIF(F48:F51,"Sim",D48:D51)</f>
        <v>4.8000000000000001E-2</v>
      </c>
      <c r="E52" s="304">
        <f>SUMIF(F48:F51,"Não",E48:E51)</f>
        <v>3.3000000000000004E-3</v>
      </c>
      <c r="F52" s="294"/>
      <c r="G52" s="294"/>
      <c r="H52" s="294"/>
    </row>
    <row r="53" spans="1:8" x14ac:dyDescent="0.2">
      <c r="A53" s="294"/>
      <c r="B53" s="294"/>
      <c r="C53" s="294"/>
      <c r="D53" s="386" t="s">
        <v>36</v>
      </c>
      <c r="E53" s="387">
        <f>SUM(D52:E52)</f>
        <v>5.1299999999999998E-2</v>
      </c>
      <c r="F53" s="294"/>
      <c r="G53" s="294"/>
      <c r="H53" s="294"/>
    </row>
    <row r="55" spans="1:8" x14ac:dyDescent="0.2">
      <c r="A55" s="394" t="s">
        <v>303</v>
      </c>
      <c r="B55" s="382">
        <f>D8+D19+D27+D37+D45</f>
        <v>0.57700000000000007</v>
      </c>
    </row>
    <row r="56" spans="1:8" x14ac:dyDescent="0.2">
      <c r="A56" s="395" t="s">
        <v>304</v>
      </c>
      <c r="B56" s="382">
        <f>E8+E19+E27+E37+E45+E52</f>
        <v>0.11649000000000001</v>
      </c>
    </row>
    <row r="57" spans="1:8" x14ac:dyDescent="0.2">
      <c r="B57" s="396">
        <f>SUM(B55:B56)</f>
        <v>0.69349000000000005</v>
      </c>
      <c r="E57" s="393"/>
    </row>
    <row r="58" spans="1:8" x14ac:dyDescent="0.2">
      <c r="E58" s="393"/>
    </row>
    <row r="59" spans="1:8" x14ac:dyDescent="0.2">
      <c r="A59" s="238" t="s">
        <v>24</v>
      </c>
      <c r="B59" s="239"/>
      <c r="C59" s="239"/>
    </row>
    <row r="60" spans="1:8" x14ac:dyDescent="0.2">
      <c r="A60" s="239" t="s">
        <v>25</v>
      </c>
      <c r="B60" s="266"/>
    </row>
    <row r="61" spans="1:8" x14ac:dyDescent="0.2">
      <c r="A61" s="239" t="s">
        <v>26</v>
      </c>
      <c r="B61" s="180"/>
    </row>
    <row r="62" spans="1:8" x14ac:dyDescent="0.2">
      <c r="A62" s="239" t="s">
        <v>275</v>
      </c>
      <c r="B62" s="316"/>
    </row>
  </sheetData>
  <sheetProtection password="EBD9" sheet="1" objects="1" scenarios="1"/>
  <mergeCells count="7">
    <mergeCell ref="A1:R1"/>
    <mergeCell ref="A11:A18"/>
    <mergeCell ref="A22:A26"/>
    <mergeCell ref="A40:A44"/>
    <mergeCell ref="A48:A51"/>
    <mergeCell ref="A4:A7"/>
    <mergeCell ref="A30:A36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Misselaneuos!$A$1:$A$2</xm:f>
          </x14:formula1>
          <xm:sqref>F4:F7 F48:F51 F22:F26 F40:F44 F11:F18 F30:F36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T33"/>
  <sheetViews>
    <sheetView tabSelected="1" zoomScaleNormal="100" workbookViewId="0">
      <selection activeCell="M15" sqref="M15"/>
    </sheetView>
  </sheetViews>
  <sheetFormatPr defaultColWidth="9.140625" defaultRowHeight="12.75" x14ac:dyDescent="0.2"/>
  <cols>
    <col min="1" max="1" width="28.140625" style="146" bestFit="1" customWidth="1"/>
    <col min="2" max="2" width="9.7109375" style="361" customWidth="1"/>
    <col min="3" max="5" width="9.140625" style="146"/>
    <col min="6" max="6" width="15.140625" style="146" bestFit="1" customWidth="1"/>
    <col min="7" max="9" width="9.140625" style="146"/>
    <col min="10" max="10" width="6.42578125" style="146" customWidth="1"/>
    <col min="11" max="11" width="15.140625" style="146" bestFit="1" customWidth="1"/>
    <col min="12" max="14" width="9.140625" style="146"/>
    <col min="15" max="16" width="6.42578125" style="146" customWidth="1"/>
    <col min="17" max="17" width="15" style="146" bestFit="1" customWidth="1"/>
    <col min="18" max="16384" width="9.140625" style="146"/>
  </cols>
  <sheetData>
    <row r="1" spans="1:20" ht="16.5" thickBot="1" x14ac:dyDescent="0.25">
      <c r="A1" s="415" t="str">
        <f>"Potential Magnitude " &amp;[1]Instructions!C3</f>
        <v xml:space="preserve">Potential Magnitude </v>
      </c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7"/>
    </row>
    <row r="2" spans="1:20" s="239" customFormat="1" ht="11.25" x14ac:dyDescent="0.2">
      <c r="B2" s="324"/>
    </row>
    <row r="3" spans="1:20" s="239" customFormat="1" ht="12" thickBot="1" x14ac:dyDescent="0.25">
      <c r="A3" s="239" t="s">
        <v>23</v>
      </c>
      <c r="B3" s="324"/>
      <c r="C3" s="324">
        <f>Total_Produce/B9</f>
        <v>283.8</v>
      </c>
      <c r="H3" s="324">
        <f>H9/G9</f>
        <v>227.04000000000002</v>
      </c>
      <c r="M3" s="324">
        <f>M9/L9</f>
        <v>227.04000000000005</v>
      </c>
    </row>
    <row r="4" spans="1:20" s="239" customFormat="1" ht="22.7" customHeight="1" x14ac:dyDescent="0.2">
      <c r="B4" s="508" t="s">
        <v>44</v>
      </c>
      <c r="C4" s="509"/>
      <c r="D4" s="510"/>
      <c r="E4" s="325"/>
      <c r="G4" s="508" t="s">
        <v>44</v>
      </c>
      <c r="H4" s="509"/>
      <c r="I4" s="510"/>
      <c r="J4" s="325"/>
      <c r="L4" s="508" t="s">
        <v>45</v>
      </c>
      <c r="M4" s="509"/>
      <c r="N4" s="510"/>
      <c r="O4" s="515" t="s">
        <v>53</v>
      </c>
      <c r="P4" s="516"/>
      <c r="Q4" s="516"/>
      <c r="R4" s="516"/>
      <c r="S4" s="146"/>
      <c r="T4" s="146"/>
    </row>
    <row r="5" spans="1:20" s="239" customFormat="1" ht="13.7" customHeight="1" thickBot="1" x14ac:dyDescent="0.25">
      <c r="A5" s="326" t="s">
        <v>270</v>
      </c>
      <c r="B5" s="292" t="s">
        <v>14</v>
      </c>
      <c r="C5" s="327" t="s">
        <v>15</v>
      </c>
      <c r="D5" s="328" t="s">
        <v>20</v>
      </c>
      <c r="E5" s="329"/>
      <c r="F5" s="326" t="s">
        <v>271</v>
      </c>
      <c r="G5" s="292" t="s">
        <v>14</v>
      </c>
      <c r="H5" s="327" t="s">
        <v>15</v>
      </c>
      <c r="I5" s="328" t="s">
        <v>20</v>
      </c>
      <c r="J5" s="329"/>
      <c r="K5" s="326" t="s">
        <v>271</v>
      </c>
      <c r="L5" s="292" t="s">
        <v>14</v>
      </c>
      <c r="M5" s="327" t="s">
        <v>15</v>
      </c>
      <c r="N5" s="328" t="s">
        <v>20</v>
      </c>
      <c r="O5" s="329" t="s">
        <v>15</v>
      </c>
      <c r="P5" s="329" t="s">
        <v>20</v>
      </c>
      <c r="Q5" s="238" t="s">
        <v>51</v>
      </c>
      <c r="R5" s="238" t="s">
        <v>52</v>
      </c>
      <c r="S5" s="146"/>
      <c r="T5" s="146"/>
    </row>
    <row r="6" spans="1:20" s="239" customFormat="1" x14ac:dyDescent="0.2">
      <c r="A6" s="507" t="s">
        <v>203</v>
      </c>
      <c r="B6" s="505">
        <v>0.13</v>
      </c>
      <c r="C6" s="511">
        <f>C$3*B6</f>
        <v>36.894000000000005</v>
      </c>
      <c r="D6" s="513">
        <f>C6/B$19</f>
        <v>0.27950000000000003</v>
      </c>
      <c r="E6" s="256"/>
      <c r="F6" s="299" t="s">
        <v>221</v>
      </c>
      <c r="G6" s="330">
        <f>'MDS(4)'!E9</f>
        <v>2.9900000000000003E-2</v>
      </c>
      <c r="H6" s="331">
        <f>$H$3*G6</f>
        <v>6.7884960000000012</v>
      </c>
      <c r="I6" s="332">
        <f>H6/$G$19</f>
        <v>4.5256640000000008E-2</v>
      </c>
      <c r="J6" s="333"/>
      <c r="K6" s="299" t="s">
        <v>221</v>
      </c>
      <c r="L6" s="149">
        <v>0</v>
      </c>
      <c r="M6" s="331">
        <f>M$3*L6</f>
        <v>0</v>
      </c>
      <c r="N6" s="332">
        <f t="shared" ref="N6:N11" si="0">M6/L$19</f>
        <v>0</v>
      </c>
      <c r="O6" s="334"/>
      <c r="P6" s="335"/>
      <c r="Q6" s="335"/>
      <c r="R6" s="335"/>
      <c r="S6" s="146"/>
      <c r="T6" s="146"/>
    </row>
    <row r="7" spans="1:20" s="239" customFormat="1" x14ac:dyDescent="0.2">
      <c r="A7" s="507"/>
      <c r="B7" s="506"/>
      <c r="C7" s="512"/>
      <c r="D7" s="514"/>
      <c r="E7" s="256"/>
      <c r="F7" s="299" t="s">
        <v>216</v>
      </c>
      <c r="G7" s="330">
        <f>'MDS(4)'!E20</f>
        <v>0.1061</v>
      </c>
      <c r="H7" s="331">
        <f t="shared" ref="H7:H16" si="1">$H$3*G7</f>
        <v>24.088944000000001</v>
      </c>
      <c r="I7" s="332">
        <f t="shared" ref="I7:I16" si="2">H7/$G$19</f>
        <v>0.16059296000000001</v>
      </c>
      <c r="J7" s="333"/>
      <c r="K7" s="299" t="s">
        <v>216</v>
      </c>
      <c r="L7" s="149">
        <v>0</v>
      </c>
      <c r="M7" s="331">
        <f>M$3*L7</f>
        <v>0</v>
      </c>
      <c r="N7" s="332">
        <f t="shared" si="0"/>
        <v>0</v>
      </c>
      <c r="O7" s="334"/>
      <c r="P7" s="335"/>
      <c r="Q7" s="335"/>
      <c r="R7" s="335"/>
      <c r="S7" s="146"/>
      <c r="T7" s="146"/>
    </row>
    <row r="8" spans="1:20" s="239" customFormat="1" x14ac:dyDescent="0.2">
      <c r="A8" s="299" t="s">
        <v>18</v>
      </c>
      <c r="B8" s="330">
        <v>0.24</v>
      </c>
      <c r="C8" s="331">
        <f>C$3*B8</f>
        <v>68.111999999999995</v>
      </c>
      <c r="D8" s="332">
        <f>C8/B$19</f>
        <v>0.51600000000000001</v>
      </c>
      <c r="E8" s="333"/>
      <c r="F8" s="299" t="s">
        <v>222</v>
      </c>
      <c r="G8" s="330">
        <f>'MDS(4)'!E28</f>
        <v>0.13444</v>
      </c>
      <c r="H8" s="331">
        <f t="shared" si="1"/>
        <v>30.523257600000004</v>
      </c>
      <c r="I8" s="332">
        <f t="shared" si="2"/>
        <v>0.20348838400000002</v>
      </c>
      <c r="J8" s="324"/>
      <c r="K8" s="299" t="s">
        <v>222</v>
      </c>
      <c r="L8" s="149">
        <v>0.13</v>
      </c>
      <c r="M8" s="331">
        <f>M$3*L8</f>
        <v>29.515200000000007</v>
      </c>
      <c r="N8" s="332">
        <f t="shared" si="0"/>
        <v>0.18447000000000005</v>
      </c>
      <c r="O8" s="336">
        <f>SUM(M6:M8)</f>
        <v>29.515200000000007</v>
      </c>
      <c r="P8" s="336">
        <f>SUM(N6:N8)</f>
        <v>0.18447000000000005</v>
      </c>
      <c r="Q8" s="335" t="s">
        <v>46</v>
      </c>
      <c r="R8" s="337">
        <f>P8/P$17</f>
        <v>0.13</v>
      </c>
      <c r="S8" s="146"/>
      <c r="T8" s="146"/>
    </row>
    <row r="9" spans="1:20" s="239" customFormat="1" x14ac:dyDescent="0.2">
      <c r="A9" s="299" t="s">
        <v>11</v>
      </c>
      <c r="B9" s="330">
        <v>0.28000000000000003</v>
      </c>
      <c r="C9" s="338">
        <f>Total_Produce</f>
        <v>79.464000000000013</v>
      </c>
      <c r="D9" s="332">
        <f>C9/B$19</f>
        <v>0.60200000000000009</v>
      </c>
      <c r="E9" s="333"/>
      <c r="F9" s="299" t="s">
        <v>223</v>
      </c>
      <c r="G9" s="330">
        <f>'MDS(4)'!E38</f>
        <v>0.35000000000000003</v>
      </c>
      <c r="H9" s="338">
        <f>Total_Produce</f>
        <v>79.464000000000013</v>
      </c>
      <c r="I9" s="332">
        <f t="shared" si="2"/>
        <v>0.52976000000000012</v>
      </c>
      <c r="J9" s="333"/>
      <c r="K9" s="299" t="s">
        <v>223</v>
      </c>
      <c r="L9" s="149">
        <v>0.35</v>
      </c>
      <c r="M9" s="338">
        <f>Total_Produce</f>
        <v>79.464000000000013</v>
      </c>
      <c r="N9" s="332">
        <f t="shared" si="0"/>
        <v>0.49665000000000009</v>
      </c>
      <c r="O9" s="334">
        <f>SUM(M9)</f>
        <v>79.464000000000013</v>
      </c>
      <c r="P9" s="339"/>
      <c r="Q9" s="335" t="s">
        <v>47</v>
      </c>
      <c r="R9" s="337">
        <f>P10/P$17</f>
        <v>0.49</v>
      </c>
      <c r="S9" s="146"/>
      <c r="T9" s="146"/>
    </row>
    <row r="10" spans="1:20" s="239" customFormat="1" x14ac:dyDescent="0.2">
      <c r="A10" s="299" t="s">
        <v>154</v>
      </c>
      <c r="B10" s="330">
        <v>0.04</v>
      </c>
      <c r="C10" s="331">
        <f>C$3*B10</f>
        <v>11.352</v>
      </c>
      <c r="D10" s="332">
        <f>C10/B$19</f>
        <v>8.6000000000000007E-2</v>
      </c>
      <c r="E10" s="333"/>
      <c r="F10" s="340"/>
      <c r="G10" s="330">
        <v>0</v>
      </c>
      <c r="H10" s="331">
        <f t="shared" si="1"/>
        <v>0</v>
      </c>
      <c r="I10" s="332">
        <f t="shared" si="2"/>
        <v>0</v>
      </c>
      <c r="J10" s="333"/>
      <c r="K10" s="340"/>
      <c r="L10" s="149">
        <v>0.14000000000000001</v>
      </c>
      <c r="M10" s="331">
        <f>M$3*L10</f>
        <v>31.785600000000009</v>
      </c>
      <c r="N10" s="332">
        <f t="shared" si="0"/>
        <v>0.19866000000000006</v>
      </c>
      <c r="O10" s="334"/>
      <c r="P10" s="339">
        <f>SUM(N9:N10)</f>
        <v>0.69531000000000009</v>
      </c>
      <c r="Q10" s="335"/>
      <c r="R10" s="337"/>
      <c r="S10" s="146"/>
      <c r="T10" s="146"/>
    </row>
    <row r="11" spans="1:20" s="239" customFormat="1" x14ac:dyDescent="0.2">
      <c r="A11" s="299" t="s">
        <v>155</v>
      </c>
      <c r="B11" s="330">
        <v>0.19</v>
      </c>
      <c r="C11" s="331">
        <f>C$3*B11</f>
        <v>53.922000000000004</v>
      </c>
      <c r="D11" s="332">
        <f>C11/B$19</f>
        <v>0.40850000000000003</v>
      </c>
      <c r="E11" s="333"/>
      <c r="F11" s="341" t="s">
        <v>224</v>
      </c>
      <c r="G11" s="518">
        <f>'MDS(4)'!E46</f>
        <v>6.9750000000000006E-2</v>
      </c>
      <c r="H11" s="517">
        <f t="shared" si="1"/>
        <v>15.836040000000002</v>
      </c>
      <c r="I11" s="332">
        <f t="shared" si="2"/>
        <v>0.10557360000000002</v>
      </c>
      <c r="J11" s="333"/>
      <c r="K11" s="522" t="s">
        <v>224</v>
      </c>
      <c r="L11" s="520">
        <v>0.18</v>
      </c>
      <c r="M11" s="517">
        <f>M$3*L11</f>
        <v>40.867200000000004</v>
      </c>
      <c r="N11" s="332">
        <f t="shared" si="0"/>
        <v>0.25542000000000004</v>
      </c>
      <c r="O11" s="334"/>
      <c r="P11" s="335"/>
      <c r="Q11" s="335"/>
      <c r="R11" s="337"/>
      <c r="S11" s="146"/>
      <c r="T11" s="146"/>
    </row>
    <row r="12" spans="1:20" s="239" customFormat="1" x14ac:dyDescent="0.2">
      <c r="A12" s="299" t="s">
        <v>156</v>
      </c>
      <c r="B12" s="330">
        <v>0.08</v>
      </c>
      <c r="C12" s="331">
        <f>C$3*B12</f>
        <v>22.704000000000001</v>
      </c>
      <c r="D12" s="332"/>
      <c r="E12" s="333"/>
      <c r="F12" s="306"/>
      <c r="G12" s="519"/>
      <c r="H12" s="512"/>
      <c r="I12" s="332">
        <f t="shared" si="2"/>
        <v>0</v>
      </c>
      <c r="J12" s="333"/>
      <c r="K12" s="523"/>
      <c r="L12" s="521"/>
      <c r="M12" s="512"/>
      <c r="N12" s="332"/>
      <c r="O12" s="334"/>
      <c r="P12" s="335"/>
      <c r="Q12" s="335"/>
      <c r="R12" s="337"/>
      <c r="S12" s="146"/>
      <c r="T12" s="146"/>
    </row>
    <row r="13" spans="1:20" s="239" customFormat="1" x14ac:dyDescent="0.2">
      <c r="A13" s="299" t="s">
        <v>12</v>
      </c>
      <c r="B13" s="330">
        <v>0.04</v>
      </c>
      <c r="C13" s="331">
        <f>C$3*B13</f>
        <v>11.352</v>
      </c>
      <c r="D13" s="332">
        <f>C13/B$19</f>
        <v>8.6000000000000007E-2</v>
      </c>
      <c r="E13" s="333"/>
      <c r="F13" s="299" t="s">
        <v>225</v>
      </c>
      <c r="G13" s="330">
        <f>'MDS(4)'!E53</f>
        <v>5.1299999999999998E-2</v>
      </c>
      <c r="H13" s="331">
        <f t="shared" si="1"/>
        <v>11.647152</v>
      </c>
      <c r="I13" s="332">
        <f t="shared" si="2"/>
        <v>7.7647679999999997E-2</v>
      </c>
      <c r="J13" s="324"/>
      <c r="K13" s="299" t="s">
        <v>225</v>
      </c>
      <c r="L13" s="149">
        <v>0</v>
      </c>
      <c r="M13" s="331">
        <f>M$3*L13</f>
        <v>0</v>
      </c>
      <c r="N13" s="332">
        <f>M13/L$19</f>
        <v>0</v>
      </c>
      <c r="O13" s="336">
        <f>SUM(M11:M13)</f>
        <v>40.867200000000004</v>
      </c>
      <c r="P13" s="336">
        <f>SUM(N11:N13)</f>
        <v>0.25542000000000004</v>
      </c>
      <c r="Q13" s="335" t="s">
        <v>48</v>
      </c>
      <c r="R13" s="337">
        <f>P13/P$17</f>
        <v>0.18</v>
      </c>
      <c r="S13" s="146"/>
      <c r="T13" s="146"/>
    </row>
    <row r="14" spans="1:20" s="239" customFormat="1" x14ac:dyDescent="0.2">
      <c r="A14" s="299"/>
      <c r="B14" s="342"/>
      <c r="C14" s="331"/>
      <c r="D14" s="332"/>
      <c r="E14" s="333"/>
      <c r="F14" s="324"/>
      <c r="G14" s="343"/>
      <c r="H14" s="331"/>
      <c r="I14" s="332">
        <f t="shared" si="2"/>
        <v>0</v>
      </c>
      <c r="J14" s="324"/>
      <c r="K14" s="324"/>
      <c r="L14" s="343"/>
      <c r="M14" s="331"/>
      <c r="N14" s="332"/>
      <c r="O14" s="336"/>
      <c r="P14" s="336"/>
      <c r="Q14" s="335"/>
      <c r="R14" s="337"/>
      <c r="S14" s="146"/>
      <c r="T14" s="146"/>
    </row>
    <row r="15" spans="1:20" s="239" customFormat="1" x14ac:dyDescent="0.2">
      <c r="A15" s="299" t="s">
        <v>21</v>
      </c>
      <c r="B15" s="330">
        <v>0</v>
      </c>
      <c r="C15" s="331">
        <f>C$3*B15</f>
        <v>0</v>
      </c>
      <c r="D15" s="332">
        <f>C15/B$19</f>
        <v>0</v>
      </c>
      <c r="E15" s="333"/>
      <c r="F15" s="299" t="s">
        <v>21</v>
      </c>
      <c r="G15" s="344">
        <v>0</v>
      </c>
      <c r="H15" s="331">
        <f t="shared" si="1"/>
        <v>0</v>
      </c>
      <c r="I15" s="332">
        <f t="shared" si="2"/>
        <v>0</v>
      </c>
      <c r="J15" s="333"/>
      <c r="K15" s="299" t="s">
        <v>21</v>
      </c>
      <c r="L15" s="150">
        <v>0.2</v>
      </c>
      <c r="M15" s="331">
        <f>M$3*L15</f>
        <v>45.408000000000015</v>
      </c>
      <c r="N15" s="332">
        <f>M15/L$19</f>
        <v>0.28380000000000011</v>
      </c>
      <c r="O15" s="334"/>
      <c r="P15" s="339"/>
      <c r="Q15" s="335"/>
      <c r="R15" s="337"/>
      <c r="S15" s="146"/>
      <c r="T15" s="146"/>
    </row>
    <row r="16" spans="1:20" s="239" customFormat="1" ht="13.5" thickBot="1" x14ac:dyDescent="0.25">
      <c r="A16" s="299" t="s">
        <v>22</v>
      </c>
      <c r="B16" s="308">
        <v>0</v>
      </c>
      <c r="C16" s="345">
        <f>C$3*B16</f>
        <v>0</v>
      </c>
      <c r="D16" s="346">
        <f>C16/B$19</f>
        <v>0</v>
      </c>
      <c r="E16" s="333"/>
      <c r="F16" s="299" t="s">
        <v>22</v>
      </c>
      <c r="G16" s="347">
        <v>0</v>
      </c>
      <c r="H16" s="345">
        <f t="shared" si="1"/>
        <v>0</v>
      </c>
      <c r="I16" s="346">
        <f t="shared" si="2"/>
        <v>0</v>
      </c>
      <c r="J16" s="324"/>
      <c r="K16" s="299" t="s">
        <v>22</v>
      </c>
      <c r="L16" s="151">
        <f>G16</f>
        <v>0</v>
      </c>
      <c r="M16" s="345">
        <f>M$3*L16</f>
        <v>0</v>
      </c>
      <c r="N16" s="332">
        <f>M16/L$19</f>
        <v>0</v>
      </c>
      <c r="O16" s="336">
        <f>SUM(M15:M16)</f>
        <v>45.408000000000015</v>
      </c>
      <c r="P16" s="336">
        <f>SUM(N15:N16)</f>
        <v>0.28380000000000011</v>
      </c>
      <c r="Q16" s="335" t="s">
        <v>21</v>
      </c>
      <c r="R16" s="337">
        <f>P16/P$17</f>
        <v>0.20000000000000004</v>
      </c>
      <c r="S16" s="146"/>
      <c r="T16" s="146"/>
    </row>
    <row r="17" spans="1:20" s="239" customFormat="1" x14ac:dyDescent="0.2">
      <c r="A17" s="348" t="s">
        <v>19</v>
      </c>
      <c r="B17" s="349">
        <f>SUM(B6:B16)</f>
        <v>1</v>
      </c>
      <c r="C17" s="350">
        <f>SUM(C6:C16)</f>
        <v>283.8</v>
      </c>
      <c r="D17" s="351">
        <f>SUM(D6:D16)</f>
        <v>1.9780000000000004</v>
      </c>
      <c r="E17" s="352"/>
      <c r="F17" s="353"/>
      <c r="G17" s="349">
        <f>SUM(G6:G16)</f>
        <v>0.74149000000000009</v>
      </c>
      <c r="H17" s="350">
        <f>SUM(H6:H16)</f>
        <v>168.34788960000003</v>
      </c>
      <c r="I17" s="351">
        <f>SUM(I6:I16)</f>
        <v>1.1223192640000001</v>
      </c>
      <c r="J17" s="352"/>
      <c r="K17" s="353"/>
      <c r="L17" s="349">
        <f>SUM(L6:L16)</f>
        <v>1</v>
      </c>
      <c r="M17" s="350">
        <f>SUM(M6:M16)</f>
        <v>227.04000000000005</v>
      </c>
      <c r="N17" s="351">
        <f>SUM(N6:N16)</f>
        <v>1.4190000000000003</v>
      </c>
      <c r="O17" s="354"/>
      <c r="P17" s="355">
        <f>SUM(P6:P16)</f>
        <v>1.4190000000000003</v>
      </c>
      <c r="Q17" s="335"/>
      <c r="R17" s="335"/>
      <c r="S17" s="146"/>
      <c r="T17" s="146"/>
    </row>
    <row r="18" spans="1:20" s="239" customFormat="1" x14ac:dyDescent="0.2">
      <c r="A18" s="294"/>
      <c r="B18" s="356"/>
      <c r="C18" s="357"/>
      <c r="D18" s="358"/>
      <c r="E18" s="226"/>
      <c r="G18" s="356"/>
      <c r="H18" s="357"/>
      <c r="I18" s="358"/>
      <c r="J18" s="226"/>
      <c r="L18" s="356"/>
      <c r="M18" s="357"/>
      <c r="N18" s="358"/>
      <c r="O18" s="226"/>
      <c r="S18" s="146"/>
      <c r="T18" s="146"/>
    </row>
    <row r="19" spans="1:20" s="239" customFormat="1" ht="12" thickBot="1" x14ac:dyDescent="0.25">
      <c r="A19" s="294" t="s">
        <v>17</v>
      </c>
      <c r="B19" s="359">
        <v>132</v>
      </c>
      <c r="C19" s="265"/>
      <c r="D19" s="360"/>
      <c r="E19" s="226"/>
      <c r="G19" s="359">
        <v>150</v>
      </c>
      <c r="H19" s="265"/>
      <c r="I19" s="360"/>
      <c r="J19" s="226"/>
      <c r="L19" s="397">
        <v>160</v>
      </c>
      <c r="M19" s="265"/>
      <c r="N19" s="360"/>
      <c r="O19" s="226"/>
    </row>
    <row r="20" spans="1:20" x14ac:dyDescent="0.2">
      <c r="A20" s="268"/>
    </row>
    <row r="22" spans="1:20" x14ac:dyDescent="0.2">
      <c r="B22" s="238" t="s">
        <v>24</v>
      </c>
      <c r="C22" s="239"/>
      <c r="D22" s="171"/>
      <c r="J22" s="239"/>
      <c r="O22" s="239"/>
    </row>
    <row r="23" spans="1:20" x14ac:dyDescent="0.2">
      <c r="B23" s="239" t="s">
        <v>25</v>
      </c>
      <c r="C23" s="239"/>
      <c r="D23" s="179"/>
    </row>
    <row r="24" spans="1:20" x14ac:dyDescent="0.2">
      <c r="B24" s="239" t="s">
        <v>26</v>
      </c>
      <c r="C24" s="239"/>
      <c r="D24" s="180"/>
    </row>
    <row r="25" spans="1:20" x14ac:dyDescent="0.2">
      <c r="B25" s="239" t="s">
        <v>27</v>
      </c>
      <c r="C25" s="239"/>
      <c r="D25" s="362"/>
    </row>
    <row r="26" spans="1:20" x14ac:dyDescent="0.2">
      <c r="B26" s="239" t="s">
        <v>27</v>
      </c>
      <c r="C26" s="239"/>
      <c r="D26" s="363"/>
    </row>
    <row r="29" spans="1:20" x14ac:dyDescent="0.2">
      <c r="A29" s="364"/>
    </row>
    <row r="30" spans="1:20" x14ac:dyDescent="0.2">
      <c r="A30" s="294"/>
    </row>
    <row r="31" spans="1:20" x14ac:dyDescent="0.2">
      <c r="A31" s="294"/>
    </row>
    <row r="32" spans="1:20" x14ac:dyDescent="0.2">
      <c r="A32" s="294"/>
    </row>
    <row r="33" spans="1:1" x14ac:dyDescent="0.2">
      <c r="A33" s="294"/>
    </row>
  </sheetData>
  <sheetProtection password="EBD9" sheet="1" objects="1" scenarios="1"/>
  <mergeCells count="14">
    <mergeCell ref="M11:M12"/>
    <mergeCell ref="H11:H12"/>
    <mergeCell ref="G11:G12"/>
    <mergeCell ref="L11:L12"/>
    <mergeCell ref="K11:K12"/>
    <mergeCell ref="A1:R1"/>
    <mergeCell ref="B6:B7"/>
    <mergeCell ref="A6:A7"/>
    <mergeCell ref="G4:I4"/>
    <mergeCell ref="C6:C7"/>
    <mergeCell ref="D6:D7"/>
    <mergeCell ref="B4:D4"/>
    <mergeCell ref="L4:N4"/>
    <mergeCell ref="O4:R4"/>
  </mergeCells>
  <phoneticPr fontId="0" type="noConversion"/>
  <pageMargins left="0.75" right="0.75" top="1" bottom="1" header="0.5" footer="0.5"/>
  <pageSetup scale="90" orientation="landscape" horizontalDpi="200" r:id="rId1"/>
  <headerFooter alignWithMargins="0">
    <oddHeader>&amp;LEstimate Template</oddHeader>
    <oddFooter>&amp;L&amp;BEDS Confidential&amp;B&amp;C&amp;D&amp;RPage &amp;P</oddFooter>
  </headerFooter>
  <ignoredErrors>
    <ignoredError sqref="H9" formula="1"/>
  </ignoredError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B23"/>
  <sheetViews>
    <sheetView zoomScaleNormal="100" workbookViewId="0">
      <selection activeCell="F14" sqref="F14"/>
    </sheetView>
  </sheetViews>
  <sheetFormatPr defaultColWidth="9.140625" defaultRowHeight="11.25" x14ac:dyDescent="0.2"/>
  <cols>
    <col min="1" max="1" width="21.7109375" style="3" customWidth="1"/>
    <col min="2" max="2" width="20.42578125" style="14" customWidth="1"/>
    <col min="3" max="4" width="9.42578125" style="3" customWidth="1"/>
    <col min="5" max="7" width="9.140625" style="3"/>
    <col min="8" max="8" width="13.7109375" style="3" customWidth="1"/>
    <col min="9" max="16384" width="9.140625" style="3"/>
  </cols>
  <sheetData>
    <row r="1" spans="1:28" ht="23.25" customHeight="1" thickTop="1" thickBot="1" x14ac:dyDescent="0.25">
      <c r="A1" s="491" t="str">
        <f>"PreStaff Worksheet " &amp;[1]Instructions!C3</f>
        <v xml:space="preserve">PreStaff Worksheet </v>
      </c>
      <c r="B1" s="492"/>
      <c r="C1" s="492"/>
      <c r="D1" s="492"/>
      <c r="E1" s="492"/>
      <c r="F1" s="493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</row>
    <row r="2" spans="1:28" ht="14.25" thickTop="1" thickBot="1" x14ac:dyDescent="0.25"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</row>
    <row r="3" spans="1:28" ht="12" thickBot="1" x14ac:dyDescent="0.25">
      <c r="A3" s="3" t="s">
        <v>65</v>
      </c>
      <c r="B3" s="43"/>
      <c r="I3" s="17"/>
      <c r="J3" s="21"/>
      <c r="K3" s="21"/>
    </row>
    <row r="4" spans="1:28" x14ac:dyDescent="0.2">
      <c r="I4" s="17"/>
      <c r="J4" s="21"/>
      <c r="K4" s="21"/>
    </row>
    <row r="5" spans="1:28" s="15" customFormat="1" ht="45.75" thickBot="1" x14ac:dyDescent="0.25">
      <c r="A5" s="22" t="s">
        <v>13</v>
      </c>
      <c r="B5" s="22" t="s">
        <v>57</v>
      </c>
      <c r="C5" s="22" t="s">
        <v>60</v>
      </c>
      <c r="D5" s="22" t="s">
        <v>61</v>
      </c>
      <c r="E5" s="22" t="s">
        <v>63</v>
      </c>
      <c r="F5" s="22" t="s">
        <v>64</v>
      </c>
      <c r="I5" s="21"/>
      <c r="J5" s="21"/>
      <c r="K5" s="21"/>
    </row>
    <row r="6" spans="1:28" ht="56.25" x14ac:dyDescent="0.2">
      <c r="A6" s="14" t="s">
        <v>10</v>
      </c>
      <c r="B6" s="14" t="s">
        <v>58</v>
      </c>
      <c r="C6" s="16">
        <f>'Magnitude(5)'!M6</f>
        <v>0</v>
      </c>
      <c r="D6" s="18">
        <f>'Magnitude(5)'!N6</f>
        <v>0</v>
      </c>
      <c r="E6" s="44"/>
      <c r="F6" s="18" t="e">
        <f t="shared" ref="F6:F13" si="0">D6/E6</f>
        <v>#DIV/0!</v>
      </c>
      <c r="G6" s="18"/>
      <c r="H6" s="14"/>
      <c r="I6" s="17"/>
      <c r="J6" s="21"/>
      <c r="K6" s="21"/>
    </row>
    <row r="7" spans="1:28" ht="78.75" x14ac:dyDescent="0.2">
      <c r="A7" s="14" t="s">
        <v>18</v>
      </c>
      <c r="B7" s="14" t="s">
        <v>59</v>
      </c>
      <c r="C7" s="16">
        <f>'Magnitude(5)'!M8</f>
        <v>29.515200000000007</v>
      </c>
      <c r="D7" s="18">
        <f>'Magnitude(5)'!N8</f>
        <v>0.18447000000000005</v>
      </c>
      <c r="E7" s="44"/>
      <c r="F7" s="18" t="e">
        <f t="shared" si="0"/>
        <v>#DIV/0!</v>
      </c>
      <c r="G7" s="18"/>
    </row>
    <row r="8" spans="1:28" ht="33.75" x14ac:dyDescent="0.2">
      <c r="A8" s="14" t="s">
        <v>11</v>
      </c>
      <c r="B8" s="14" t="s">
        <v>62</v>
      </c>
      <c r="C8" s="16">
        <f>'Magnitude(5)'!M9</f>
        <v>79.464000000000013</v>
      </c>
      <c r="D8" s="18">
        <f>'Magnitude(5)'!N9</f>
        <v>0.49665000000000009</v>
      </c>
      <c r="E8" s="44"/>
      <c r="F8" s="18" t="e">
        <f t="shared" si="0"/>
        <v>#DIV/0!</v>
      </c>
      <c r="G8" s="18"/>
    </row>
    <row r="9" spans="1:28" x14ac:dyDescent="0.2">
      <c r="A9" s="14" t="s">
        <v>154</v>
      </c>
      <c r="C9" s="16">
        <f>'Magnitude(5)'!M10</f>
        <v>31.785600000000009</v>
      </c>
      <c r="D9" s="18">
        <f>'Magnitude(5)'!N10</f>
        <v>0.19866000000000006</v>
      </c>
      <c r="E9" s="44"/>
      <c r="F9" s="18" t="e">
        <f t="shared" si="0"/>
        <v>#DIV/0!</v>
      </c>
      <c r="G9" s="18"/>
    </row>
    <row r="10" spans="1:28" ht="45" x14ac:dyDescent="0.2">
      <c r="A10" s="14" t="s">
        <v>157</v>
      </c>
      <c r="B10" s="14" t="s">
        <v>54</v>
      </c>
      <c r="C10" s="16">
        <f>'Magnitude(5)'!M11</f>
        <v>40.867200000000004</v>
      </c>
      <c r="D10" s="18">
        <f>'Magnitude(5)'!N11</f>
        <v>0.25542000000000004</v>
      </c>
      <c r="E10" s="44"/>
      <c r="F10" s="18" t="e">
        <f t="shared" si="0"/>
        <v>#DIV/0!</v>
      </c>
      <c r="G10" s="18"/>
    </row>
    <row r="11" spans="1:28" x14ac:dyDescent="0.2">
      <c r="A11" s="14" t="s">
        <v>156</v>
      </c>
      <c r="C11" s="16">
        <f>'Magnitude(5)'!M12</f>
        <v>0</v>
      </c>
      <c r="D11" s="18">
        <f>'Magnitude(5)'!N12</f>
        <v>0</v>
      </c>
      <c r="E11" s="44"/>
      <c r="F11" s="18" t="e">
        <f>D11/E11</f>
        <v>#DIV/0!</v>
      </c>
      <c r="G11" s="18"/>
    </row>
    <row r="12" spans="1:28" ht="22.5" x14ac:dyDescent="0.2">
      <c r="A12" s="14" t="s">
        <v>12</v>
      </c>
      <c r="B12" s="14" t="s">
        <v>56</v>
      </c>
      <c r="C12" s="16">
        <f>'Magnitude(5)'!M13</f>
        <v>0</v>
      </c>
      <c r="D12" s="18">
        <f>'Magnitude(5)'!N13</f>
        <v>0</v>
      </c>
      <c r="E12" s="44"/>
      <c r="F12" s="18" t="e">
        <f t="shared" si="0"/>
        <v>#DIV/0!</v>
      </c>
      <c r="G12" s="18"/>
    </row>
    <row r="13" spans="1:28" ht="56.25" x14ac:dyDescent="0.2">
      <c r="A13" s="14" t="s">
        <v>21</v>
      </c>
      <c r="B13" s="19" t="s">
        <v>55</v>
      </c>
      <c r="C13" s="16">
        <f>'Magnitude(5)'!M15+'Magnitude(5)'!M16</f>
        <v>45.408000000000015</v>
      </c>
      <c r="D13" s="18">
        <f>'Magnitude(5)'!N15+'Magnitude(5)'!N16</f>
        <v>0.28380000000000011</v>
      </c>
      <c r="E13" s="44">
        <f>B3</f>
        <v>0</v>
      </c>
      <c r="F13" s="18" t="e">
        <f t="shared" si="0"/>
        <v>#DIV/0!</v>
      </c>
      <c r="G13" s="18"/>
    </row>
    <row r="14" spans="1:28" x14ac:dyDescent="0.2">
      <c r="A14" s="14"/>
      <c r="D14" s="18"/>
      <c r="E14" s="18"/>
      <c r="F14" s="18"/>
      <c r="G14" s="18"/>
    </row>
    <row r="15" spans="1:28" x14ac:dyDescent="0.2">
      <c r="D15" s="14"/>
    </row>
    <row r="16" spans="1:28" ht="12.75" x14ac:dyDescent="0.2">
      <c r="A16" s="1"/>
      <c r="D16" s="14"/>
    </row>
    <row r="17" spans="1:4" x14ac:dyDescent="0.2">
      <c r="A17" s="14"/>
      <c r="D17" s="14"/>
    </row>
    <row r="18" spans="1:4" x14ac:dyDescent="0.2">
      <c r="A18" s="14"/>
      <c r="D18" s="20"/>
    </row>
    <row r="19" spans="1:4" x14ac:dyDescent="0.2">
      <c r="A19" s="14"/>
      <c r="D19" s="20"/>
    </row>
    <row r="20" spans="1:4" x14ac:dyDescent="0.2">
      <c r="D20" s="20"/>
    </row>
    <row r="21" spans="1:4" x14ac:dyDescent="0.2">
      <c r="D21" s="20"/>
    </row>
    <row r="22" spans="1:4" x14ac:dyDescent="0.2">
      <c r="D22" s="20"/>
    </row>
    <row r="23" spans="1:4" x14ac:dyDescent="0.2">
      <c r="D23" s="20"/>
    </row>
  </sheetData>
  <sheetProtection password="DC2E" sheet="1"/>
  <mergeCells count="1">
    <mergeCell ref="A1:F1"/>
  </mergeCells>
  <phoneticPr fontId="0" type="noConversion"/>
  <pageMargins left="0.75" right="0.75" top="1" bottom="1" header="0.5" footer="0.5"/>
  <pageSetup scale="99" orientation="landscape" horizontalDpi="200" r:id="rId1"/>
  <headerFooter alignWithMargins="0">
    <oddHeader>&amp;LEstimate Worksheet</oddHeader>
    <oddFooter>&amp;L&amp;BEDS Confidential&amp;B&amp;C&amp;D&amp;RPage &amp;P</oddFooter>
  </headerFooter>
  <rowBreaks count="1" manualBreakCount="1">
    <brk id="14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I16"/>
  <sheetViews>
    <sheetView zoomScaleNormal="100" zoomScaleSheetLayoutView="100" workbookViewId="0">
      <pane xSplit="4" ySplit="2" topLeftCell="E3" activePane="bottomRight" state="frozen"/>
      <selection activeCell="I25" sqref="I25"/>
      <selection pane="topRight" activeCell="I25" sqref="I25"/>
      <selection pane="bottomLeft" activeCell="I25" sqref="I25"/>
      <selection pane="bottomRight" activeCell="I35" sqref="I35"/>
    </sheetView>
  </sheetViews>
  <sheetFormatPr defaultColWidth="9.140625" defaultRowHeight="11.25" x14ac:dyDescent="0.2"/>
  <cols>
    <col min="1" max="1" width="23" style="103" customWidth="1"/>
    <col min="2" max="2" width="9.85546875" style="104" customWidth="1"/>
    <col min="3" max="3" width="13.28515625" style="104" customWidth="1"/>
    <col min="4" max="4" width="9.28515625" style="104" customWidth="1"/>
    <col min="5" max="5" width="9.140625" style="104"/>
    <col min="6" max="10" width="6.7109375" style="104" customWidth="1"/>
    <col min="11" max="11" width="7.5703125" style="104" customWidth="1"/>
    <col min="12" max="12" width="6.7109375" style="104" customWidth="1"/>
    <col min="13" max="13" width="8.42578125" style="104" customWidth="1"/>
    <col min="14" max="14" width="6.7109375" style="104" customWidth="1"/>
    <col min="15" max="15" width="7.42578125" style="104" customWidth="1"/>
    <col min="16" max="16" width="8.42578125" style="104" customWidth="1"/>
    <col min="17" max="17" width="0.85546875" style="123" customWidth="1"/>
    <col min="18" max="18" width="9.85546875" style="104" customWidth="1"/>
    <col min="19" max="19" width="9.140625" style="104"/>
    <col min="20" max="28" width="6.7109375" style="104" customWidth="1"/>
    <col min="29" max="30" width="7.5703125" style="104" customWidth="1"/>
    <col min="31" max="31" width="9.28515625" style="104" customWidth="1"/>
    <col min="32" max="32" width="9.140625" style="104"/>
    <col min="33" max="35" width="6.7109375" style="104" customWidth="1"/>
    <col min="36" max="16384" width="9.140625" style="104"/>
  </cols>
  <sheetData>
    <row r="1" spans="1:35" ht="17.25" customHeight="1" thickTop="1" thickBot="1" x14ac:dyDescent="0.25">
      <c r="E1" s="491" t="str">
        <f>"Other Costs " &amp;[2]Instructions!C3</f>
        <v xml:space="preserve">Other Costs </v>
      </c>
      <c r="F1" s="492"/>
      <c r="G1" s="492"/>
      <c r="H1" s="492"/>
      <c r="I1" s="492"/>
      <c r="J1" s="492"/>
      <c r="K1" s="492"/>
      <c r="L1" s="492"/>
      <c r="M1" s="492"/>
      <c r="N1" s="492"/>
      <c r="O1" s="492"/>
      <c r="P1" s="492"/>
      <c r="Q1" s="493"/>
      <c r="R1" s="491" t="str">
        <f>E1</f>
        <v xml:space="preserve">Other Costs </v>
      </c>
      <c r="S1" s="492"/>
      <c r="T1" s="492"/>
      <c r="U1" s="492"/>
      <c r="V1" s="492"/>
      <c r="W1" s="492"/>
      <c r="X1" s="492"/>
      <c r="Y1" s="492"/>
      <c r="Z1" s="492"/>
      <c r="AA1" s="492"/>
      <c r="AB1" s="492"/>
      <c r="AC1" s="492"/>
      <c r="AD1" s="492"/>
      <c r="AE1" s="493"/>
    </row>
    <row r="2" spans="1:35" s="106" customFormat="1" ht="12" customHeight="1" thickTop="1" x14ac:dyDescent="0.2">
      <c r="A2" s="105"/>
      <c r="D2" s="524" t="s">
        <v>171</v>
      </c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107"/>
      <c r="R2" s="524" t="s">
        <v>172</v>
      </c>
      <c r="S2" s="524"/>
      <c r="T2" s="524"/>
      <c r="U2" s="524"/>
      <c r="V2" s="524"/>
      <c r="W2" s="524"/>
      <c r="X2" s="524"/>
      <c r="Y2" s="524"/>
      <c r="Z2" s="524"/>
      <c r="AA2" s="524"/>
      <c r="AB2" s="524"/>
      <c r="AC2" s="524"/>
      <c r="AD2" s="524"/>
      <c r="AE2" s="524"/>
      <c r="AF2" s="524"/>
      <c r="AG2" s="524"/>
      <c r="AH2" s="524"/>
      <c r="AI2" s="524"/>
    </row>
    <row r="3" spans="1:35" s="106" customFormat="1" x14ac:dyDescent="0.2">
      <c r="A3" s="105"/>
      <c r="F3" s="524" t="s">
        <v>173</v>
      </c>
      <c r="G3" s="524"/>
      <c r="H3" s="524" t="s">
        <v>174</v>
      </c>
      <c r="I3" s="524"/>
      <c r="J3" s="524" t="s">
        <v>175</v>
      </c>
      <c r="K3" s="524"/>
      <c r="L3" s="524" t="s">
        <v>176</v>
      </c>
      <c r="M3" s="524"/>
      <c r="N3" s="524" t="s">
        <v>177</v>
      </c>
      <c r="O3" s="524"/>
      <c r="Q3" s="107"/>
      <c r="T3" s="524" t="s">
        <v>173</v>
      </c>
      <c r="U3" s="524"/>
      <c r="V3" s="524" t="s">
        <v>174</v>
      </c>
      <c r="W3" s="524"/>
      <c r="X3" s="524" t="s">
        <v>175</v>
      </c>
      <c r="Y3" s="524"/>
      <c r="Z3" s="524" t="s">
        <v>176</v>
      </c>
      <c r="AA3" s="524"/>
      <c r="AB3" s="524" t="s">
        <v>177</v>
      </c>
      <c r="AC3" s="524"/>
      <c r="AG3" s="524"/>
      <c r="AH3" s="524"/>
    </row>
    <row r="4" spans="1:35" s="105" customFormat="1" ht="33.75" x14ac:dyDescent="0.2">
      <c r="A4" s="105" t="s">
        <v>28</v>
      </c>
      <c r="B4" s="105" t="s">
        <v>178</v>
      </c>
      <c r="C4" s="105" t="s">
        <v>179</v>
      </c>
      <c r="D4" s="105" t="s">
        <v>180</v>
      </c>
      <c r="E4" s="105" t="s">
        <v>181</v>
      </c>
      <c r="F4" s="105" t="s">
        <v>182</v>
      </c>
      <c r="G4" s="105" t="s">
        <v>183</v>
      </c>
      <c r="H4" s="105" t="s">
        <v>182</v>
      </c>
      <c r="I4" s="105" t="s">
        <v>183</v>
      </c>
      <c r="J4" s="105" t="s">
        <v>182</v>
      </c>
      <c r="K4" s="105" t="s">
        <v>183</v>
      </c>
      <c r="L4" s="105" t="s">
        <v>182</v>
      </c>
      <c r="M4" s="105" t="s">
        <v>183</v>
      </c>
      <c r="N4" s="105" t="s">
        <v>182</v>
      </c>
      <c r="O4" s="105" t="s">
        <v>183</v>
      </c>
      <c r="P4" s="105" t="s">
        <v>184</v>
      </c>
      <c r="Q4" s="108"/>
      <c r="R4" s="105" t="s">
        <v>180</v>
      </c>
      <c r="S4" s="105" t="s">
        <v>181</v>
      </c>
      <c r="T4" s="105" t="s">
        <v>182</v>
      </c>
      <c r="U4" s="105" t="s">
        <v>183</v>
      </c>
      <c r="V4" s="105" t="s">
        <v>182</v>
      </c>
      <c r="W4" s="105" t="s">
        <v>183</v>
      </c>
      <c r="X4" s="105" t="s">
        <v>182</v>
      </c>
      <c r="Y4" s="105" t="s">
        <v>183</v>
      </c>
      <c r="Z4" s="105" t="s">
        <v>182</v>
      </c>
      <c r="AA4" s="105" t="s">
        <v>183</v>
      </c>
      <c r="AB4" s="105" t="s">
        <v>182</v>
      </c>
      <c r="AC4" s="105" t="s">
        <v>183</v>
      </c>
      <c r="AD4" s="105" t="s">
        <v>185</v>
      </c>
      <c r="AE4" s="105" t="s">
        <v>186</v>
      </c>
    </row>
    <row r="5" spans="1:35" s="110" customFormat="1" x14ac:dyDescent="0.2">
      <c r="A5" s="109" t="s">
        <v>187</v>
      </c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2"/>
      <c r="R5" s="111"/>
      <c r="S5" s="111"/>
      <c r="T5" s="111"/>
      <c r="U5" s="111"/>
      <c r="V5" s="111"/>
      <c r="W5" s="111"/>
      <c r="X5" s="111"/>
      <c r="Y5" s="111"/>
      <c r="Z5" s="111"/>
      <c r="AA5" s="111"/>
      <c r="AB5" s="111"/>
      <c r="AC5" s="111"/>
      <c r="AD5" s="111"/>
      <c r="AE5" s="111"/>
    </row>
    <row r="6" spans="1:35" x14ac:dyDescent="0.2">
      <c r="A6" s="103" t="s">
        <v>188</v>
      </c>
      <c r="B6" s="104" t="s">
        <v>189</v>
      </c>
      <c r="D6" s="113"/>
      <c r="E6" s="113" t="s">
        <v>190</v>
      </c>
      <c r="F6" s="113"/>
      <c r="G6" s="113">
        <f>F6*D6</f>
        <v>0</v>
      </c>
      <c r="H6" s="113"/>
      <c r="I6" s="113">
        <f>H6*D6</f>
        <v>0</v>
      </c>
      <c r="J6" s="113"/>
      <c r="K6" s="113">
        <f>J6*D6</f>
        <v>0</v>
      </c>
      <c r="L6" s="113"/>
      <c r="M6" s="113">
        <f>L6*D6</f>
        <v>0</v>
      </c>
      <c r="N6" s="113"/>
      <c r="O6" s="113">
        <f>N6*D6</f>
        <v>0</v>
      </c>
      <c r="P6" s="113">
        <f>G6+I6+K6+M6+O6</f>
        <v>0</v>
      </c>
      <c r="Q6" s="114"/>
      <c r="R6" s="113"/>
      <c r="S6" s="113" t="s">
        <v>191</v>
      </c>
      <c r="T6" s="113"/>
      <c r="U6" s="113">
        <f>T6*R6</f>
        <v>0</v>
      </c>
      <c r="V6" s="113"/>
      <c r="W6" s="113">
        <f>V6*R6</f>
        <v>0</v>
      </c>
      <c r="X6" s="113"/>
      <c r="Y6" s="113">
        <f>X6*R6</f>
        <v>0</v>
      </c>
      <c r="Z6" s="113"/>
      <c r="AA6" s="113">
        <f>Z6*R6</f>
        <v>0</v>
      </c>
      <c r="AB6" s="113"/>
      <c r="AC6" s="113">
        <f>AB6*R6</f>
        <v>0</v>
      </c>
      <c r="AD6" s="113">
        <f>U6+W6+Y6+AA6+AC6</f>
        <v>0</v>
      </c>
      <c r="AE6" s="113">
        <f>AD6/12</f>
        <v>0</v>
      </c>
    </row>
    <row r="7" spans="1:35" x14ac:dyDescent="0.2">
      <c r="A7" s="103" t="s">
        <v>188</v>
      </c>
      <c r="B7" s="104" t="s">
        <v>189</v>
      </c>
      <c r="D7" s="113"/>
      <c r="E7" s="113" t="s">
        <v>192</v>
      </c>
      <c r="F7" s="113"/>
      <c r="G7" s="113">
        <f>F7*D7</f>
        <v>0</v>
      </c>
      <c r="H7" s="113"/>
      <c r="I7" s="113">
        <f>H7*D7</f>
        <v>0</v>
      </c>
      <c r="J7" s="113"/>
      <c r="K7" s="113">
        <f>J7*D7*0.5</f>
        <v>0</v>
      </c>
      <c r="L7" s="113"/>
      <c r="M7" s="113">
        <f>L7*D7</f>
        <v>0</v>
      </c>
      <c r="N7" s="113"/>
      <c r="O7" s="113">
        <f>N7*D7</f>
        <v>0</v>
      </c>
      <c r="P7" s="113">
        <f>G7+I7+K7+M7+O7</f>
        <v>0</v>
      </c>
      <c r="Q7" s="114"/>
      <c r="R7" s="113">
        <f>D7*0.2</f>
        <v>0</v>
      </c>
      <c r="S7" s="113" t="s">
        <v>191</v>
      </c>
      <c r="T7" s="113"/>
      <c r="U7" s="113">
        <f>T7*R7</f>
        <v>0</v>
      </c>
      <c r="V7" s="113"/>
      <c r="W7" s="113">
        <f>V7*R7</f>
        <v>0</v>
      </c>
      <c r="X7" s="113"/>
      <c r="Y7" s="113">
        <f>X7*R7</f>
        <v>0</v>
      </c>
      <c r="Z7" s="113"/>
      <c r="AA7" s="113"/>
      <c r="AB7" s="113"/>
      <c r="AC7" s="113">
        <f>AB7*R7</f>
        <v>0</v>
      </c>
      <c r="AD7" s="113">
        <f>U7+W7+Y7+AA7+AC7</f>
        <v>0</v>
      </c>
      <c r="AE7" s="113">
        <f>AD7/12</f>
        <v>0</v>
      </c>
    </row>
    <row r="8" spans="1:35" ht="12" thickBot="1" x14ac:dyDescent="0.25">
      <c r="A8" s="115"/>
      <c r="B8" s="116"/>
      <c r="C8" s="116"/>
      <c r="D8" s="117"/>
      <c r="E8" s="117"/>
      <c r="F8" s="117"/>
      <c r="G8" s="117">
        <f>F8*D8</f>
        <v>0</v>
      </c>
      <c r="H8" s="117"/>
      <c r="I8" s="117">
        <f>H8*D8</f>
        <v>0</v>
      </c>
      <c r="J8" s="117"/>
      <c r="K8" s="117">
        <f>J8*D8</f>
        <v>0</v>
      </c>
      <c r="L8" s="117"/>
      <c r="M8" s="117">
        <f>L8*D8</f>
        <v>0</v>
      </c>
      <c r="N8" s="117"/>
      <c r="O8" s="117">
        <f>N8*D8</f>
        <v>0</v>
      </c>
      <c r="P8" s="117">
        <f>G8+I8+K8+M8+O8</f>
        <v>0</v>
      </c>
      <c r="Q8" s="118"/>
      <c r="R8" s="117"/>
      <c r="S8" s="117"/>
      <c r="T8" s="117"/>
      <c r="U8" s="117">
        <f>T8*R8</f>
        <v>0</v>
      </c>
      <c r="V8" s="117"/>
      <c r="W8" s="117">
        <f>V8*R8</f>
        <v>0</v>
      </c>
      <c r="X8" s="117"/>
      <c r="Y8" s="117">
        <f>X8*R8</f>
        <v>0</v>
      </c>
      <c r="Z8" s="117"/>
      <c r="AA8" s="117">
        <f>Z8*R8</f>
        <v>0</v>
      </c>
      <c r="AB8" s="117"/>
      <c r="AC8" s="117">
        <f>AB8*R8</f>
        <v>0</v>
      </c>
      <c r="AD8" s="117">
        <f>U8+W8+Y8+AA8+AC8</f>
        <v>0</v>
      </c>
      <c r="AE8" s="117">
        <f>AD8/12</f>
        <v>0</v>
      </c>
    </row>
    <row r="9" spans="1:35" s="120" customFormat="1" ht="12" thickTop="1" x14ac:dyDescent="0.2">
      <c r="A9" s="119"/>
      <c r="D9" s="121"/>
      <c r="E9" s="121"/>
      <c r="F9" s="121"/>
      <c r="G9" s="121">
        <f>SUM(G6:G8)</f>
        <v>0</v>
      </c>
      <c r="H9" s="121"/>
      <c r="I9" s="121">
        <f>SUM(I6:I8)</f>
        <v>0</v>
      </c>
      <c r="J9" s="121"/>
      <c r="K9" s="121">
        <f>SUM(K6:K8)</f>
        <v>0</v>
      </c>
      <c r="L9" s="121"/>
      <c r="M9" s="121">
        <f>SUM(M6:M8)</f>
        <v>0</v>
      </c>
      <c r="N9" s="121"/>
      <c r="O9" s="121">
        <f>SUM(O6:O8)</f>
        <v>0</v>
      </c>
      <c r="P9" s="121">
        <f>SUM(P6:P8)</f>
        <v>0</v>
      </c>
      <c r="Q9" s="122"/>
      <c r="R9" s="121"/>
      <c r="S9" s="121"/>
      <c r="T9" s="121"/>
      <c r="U9" s="121">
        <f>SUM(U6:U8)</f>
        <v>0</v>
      </c>
      <c r="V9" s="121"/>
      <c r="W9" s="121">
        <f>SUM(W6:W8)</f>
        <v>0</v>
      </c>
      <c r="X9" s="121"/>
      <c r="Y9" s="121">
        <f>SUM(Y6:Y8)</f>
        <v>0</v>
      </c>
      <c r="Z9" s="121"/>
      <c r="AA9" s="121">
        <f>SUM(AA6:AA8)</f>
        <v>0</v>
      </c>
      <c r="AB9" s="121"/>
      <c r="AC9" s="121">
        <f>SUM(AC6:AC8)</f>
        <v>0</v>
      </c>
      <c r="AD9" s="121">
        <f>SUM(AD6:AD8)</f>
        <v>0</v>
      </c>
      <c r="AE9" s="121">
        <f>AD9/12</f>
        <v>0</v>
      </c>
    </row>
    <row r="10" spans="1:35" x14ac:dyDescent="0.2"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4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113"/>
      <c r="AE10" s="113"/>
    </row>
    <row r="11" spans="1:35" x14ac:dyDescent="0.2"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3"/>
      <c r="Q11" s="114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113"/>
      <c r="AE11" s="113"/>
    </row>
    <row r="12" spans="1:35" s="110" customFormat="1" ht="33.75" x14ac:dyDescent="0.2">
      <c r="A12" s="109" t="s">
        <v>193</v>
      </c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2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</row>
    <row r="13" spans="1:35" x14ac:dyDescent="0.2">
      <c r="A13" s="103" t="s">
        <v>194</v>
      </c>
      <c r="B13" s="104" t="s">
        <v>195</v>
      </c>
      <c r="C13" s="104" t="s">
        <v>196</v>
      </c>
      <c r="D13" s="113"/>
      <c r="E13" s="113" t="s">
        <v>197</v>
      </c>
      <c r="F13" s="113"/>
      <c r="G13" s="113">
        <f>F13*D13</f>
        <v>0</v>
      </c>
      <c r="H13" s="113"/>
      <c r="I13" s="113">
        <f>H13*D13</f>
        <v>0</v>
      </c>
      <c r="J13" s="113"/>
      <c r="K13" s="113">
        <f>J13*D13</f>
        <v>0</v>
      </c>
      <c r="L13" s="113"/>
      <c r="M13" s="113">
        <f>L13*D13</f>
        <v>0</v>
      </c>
      <c r="N13" s="113"/>
      <c r="O13" s="113">
        <f>N13*D13</f>
        <v>0</v>
      </c>
      <c r="P13" s="113">
        <f>G13+I13+K13+M13+O13</f>
        <v>0</v>
      </c>
      <c r="Q13" s="114"/>
      <c r="R13" s="113"/>
      <c r="S13" s="113" t="s">
        <v>191</v>
      </c>
      <c r="T13" s="113"/>
      <c r="U13" s="113">
        <f>T13*R13</f>
        <v>0</v>
      </c>
      <c r="V13" s="113"/>
      <c r="W13" s="113">
        <f>V13*R13</f>
        <v>0</v>
      </c>
      <c r="X13" s="113"/>
      <c r="Y13" s="113">
        <f>X13*R13</f>
        <v>0</v>
      </c>
      <c r="Z13" s="113"/>
      <c r="AA13" s="113">
        <f>Z13*R13</f>
        <v>0</v>
      </c>
      <c r="AB13" s="113"/>
      <c r="AC13" s="113">
        <f>AB13*R13</f>
        <v>0</v>
      </c>
      <c r="AD13" s="113">
        <f>U13+W13+Y13+AA13+AC13</f>
        <v>0</v>
      </c>
      <c r="AE13" s="113">
        <f>AD13/12</f>
        <v>0</v>
      </c>
    </row>
    <row r="14" spans="1:35" ht="22.5" x14ac:dyDescent="0.2">
      <c r="A14" s="103" t="s">
        <v>198</v>
      </c>
      <c r="B14" s="104" t="s">
        <v>195</v>
      </c>
      <c r="C14" s="104" t="s">
        <v>196</v>
      </c>
      <c r="D14" s="113"/>
      <c r="E14" s="113" t="s">
        <v>197</v>
      </c>
      <c r="F14" s="113">
        <f>F13*0.25</f>
        <v>0</v>
      </c>
      <c r="G14" s="113">
        <f>F14*D14</f>
        <v>0</v>
      </c>
      <c r="H14" s="113"/>
      <c r="I14" s="113">
        <f>H14*D14</f>
        <v>0</v>
      </c>
      <c r="J14" s="113"/>
      <c r="K14" s="113">
        <f>J14*D14</f>
        <v>0</v>
      </c>
      <c r="L14" s="113"/>
      <c r="M14" s="113">
        <f>L14*D14</f>
        <v>0</v>
      </c>
      <c r="N14" s="113"/>
      <c r="O14" s="113">
        <f>N14*D14</f>
        <v>0</v>
      </c>
      <c r="P14" s="113">
        <f>G14+I14+K14+M14+O14</f>
        <v>0</v>
      </c>
      <c r="Q14" s="114"/>
      <c r="R14" s="113"/>
      <c r="S14" s="113" t="s">
        <v>191</v>
      </c>
      <c r="T14" s="113"/>
      <c r="U14" s="113">
        <f>T14*R14</f>
        <v>0</v>
      </c>
      <c r="V14" s="113"/>
      <c r="W14" s="113">
        <f>V14*R14</f>
        <v>0</v>
      </c>
      <c r="X14" s="113"/>
      <c r="Y14" s="113">
        <f>X14*R14</f>
        <v>0</v>
      </c>
      <c r="Z14" s="113"/>
      <c r="AA14" s="113">
        <f>Z14*R14</f>
        <v>0</v>
      </c>
      <c r="AB14" s="113"/>
      <c r="AC14" s="113">
        <f>AB14*R14</f>
        <v>0</v>
      </c>
      <c r="AD14" s="113">
        <f>U14+W14+Y14+AA14+AC14</f>
        <v>0</v>
      </c>
      <c r="AE14" s="113">
        <f>AD14/12</f>
        <v>0</v>
      </c>
    </row>
    <row r="15" spans="1:35" ht="12" thickBot="1" x14ac:dyDescent="0.25">
      <c r="A15" s="115" t="s">
        <v>199</v>
      </c>
      <c r="B15" s="116" t="s">
        <v>195</v>
      </c>
      <c r="C15" s="116" t="s">
        <v>196</v>
      </c>
      <c r="D15" s="117"/>
      <c r="E15" s="117"/>
      <c r="F15" s="117"/>
      <c r="G15" s="117">
        <f>F15*D15</f>
        <v>0</v>
      </c>
      <c r="H15" s="117"/>
      <c r="I15" s="117">
        <f>H15*D15</f>
        <v>0</v>
      </c>
      <c r="J15" s="117"/>
      <c r="K15" s="117">
        <f>J15*D15</f>
        <v>0</v>
      </c>
      <c r="L15" s="117"/>
      <c r="M15" s="117">
        <f>L15*D15</f>
        <v>0</v>
      </c>
      <c r="N15" s="117"/>
      <c r="O15" s="117">
        <f>N15*D15</f>
        <v>0</v>
      </c>
      <c r="P15" s="117"/>
      <c r="Q15" s="118"/>
      <c r="R15" s="117"/>
      <c r="S15" s="117" t="s">
        <v>191</v>
      </c>
      <c r="T15" s="117"/>
      <c r="U15" s="117">
        <f>T15*R15</f>
        <v>0</v>
      </c>
      <c r="V15" s="117"/>
      <c r="W15" s="117">
        <f>V15*R15</f>
        <v>0</v>
      </c>
      <c r="X15" s="117"/>
      <c r="Y15" s="117">
        <f>X15*R15</f>
        <v>0</v>
      </c>
      <c r="Z15" s="117"/>
      <c r="AA15" s="117">
        <f>Z15*R15</f>
        <v>0</v>
      </c>
      <c r="AB15" s="117"/>
      <c r="AC15" s="117">
        <f>AB15*R15</f>
        <v>0</v>
      </c>
      <c r="AD15" s="117">
        <f>U15+W15+Y15+AA15+AC15</f>
        <v>0</v>
      </c>
      <c r="AE15" s="117">
        <f>AD15/12</f>
        <v>0</v>
      </c>
    </row>
    <row r="16" spans="1:35" s="120" customFormat="1" ht="12" thickTop="1" x14ac:dyDescent="0.2">
      <c r="A16" s="119"/>
      <c r="D16" s="121"/>
      <c r="E16" s="121"/>
      <c r="F16" s="121"/>
      <c r="G16" s="121">
        <f>SUM(G13:G15)</f>
        <v>0</v>
      </c>
      <c r="H16" s="121"/>
      <c r="I16" s="121">
        <f>SUM(I13:I15)</f>
        <v>0</v>
      </c>
      <c r="J16" s="121"/>
      <c r="K16" s="121">
        <f>SUM(K13:K15)</f>
        <v>0</v>
      </c>
      <c r="L16" s="121"/>
      <c r="M16" s="121">
        <f>SUM(M13:M15)</f>
        <v>0</v>
      </c>
      <c r="N16" s="121"/>
      <c r="O16" s="121">
        <f>SUM(O13:O15)</f>
        <v>0</v>
      </c>
      <c r="P16" s="121">
        <f>SUM(P13:P15)</f>
        <v>0</v>
      </c>
      <c r="Q16" s="122"/>
      <c r="R16" s="121"/>
      <c r="S16" s="121"/>
      <c r="T16" s="121"/>
      <c r="U16" s="121">
        <f>SUM(U13:U15)</f>
        <v>0</v>
      </c>
      <c r="V16" s="121"/>
      <c r="W16" s="121">
        <f>SUM(W13:W15)</f>
        <v>0</v>
      </c>
      <c r="X16" s="121"/>
      <c r="Y16" s="121">
        <f>SUM(Y13:Y15)</f>
        <v>0</v>
      </c>
      <c r="Z16" s="121"/>
      <c r="AA16" s="121">
        <f>SUM(AA13:AA15)</f>
        <v>0</v>
      </c>
      <c r="AB16" s="121"/>
      <c r="AC16" s="121">
        <f>SUM(AC13:AC15)</f>
        <v>0</v>
      </c>
      <c r="AD16" s="121">
        <f>SUM(AD13:AD15)</f>
        <v>0</v>
      </c>
      <c r="AE16" s="121">
        <f>AD16/12</f>
        <v>0</v>
      </c>
    </row>
  </sheetData>
  <mergeCells count="16">
    <mergeCell ref="F3:G3"/>
    <mergeCell ref="H3:I3"/>
    <mergeCell ref="J3:K3"/>
    <mergeCell ref="L3:M3"/>
    <mergeCell ref="AG3:AH3"/>
    <mergeCell ref="N3:O3"/>
    <mergeCell ref="T3:U3"/>
    <mergeCell ref="V3:W3"/>
    <mergeCell ref="X3:Y3"/>
    <mergeCell ref="Z3:AA3"/>
    <mergeCell ref="AB3:AC3"/>
    <mergeCell ref="E1:Q1"/>
    <mergeCell ref="R1:AE1"/>
    <mergeCell ref="D2:P2"/>
    <mergeCell ref="R2:AD2"/>
    <mergeCell ref="AE2:AI2"/>
  </mergeCells>
  <phoneticPr fontId="0" type="noConversion"/>
  <pageMargins left="0.75" right="0.75" top="1" bottom="1" header="0.5" footer="0.5"/>
  <pageSetup scale="84" orientation="landscape" horizontalDpi="4294967293" r:id="rId1"/>
  <headerFooter alignWithMargins="0">
    <oddHeader>&amp;LEstimate Worksheet</oddHeader>
    <oddFooter>&amp;L&amp;BEDS Confidential&amp;B&amp;C&amp;D&amp;RPage &amp;P</oddFooter>
  </headerFooter>
  <colBreaks count="2" manualBreakCount="2">
    <brk id="17" max="1048575" man="1"/>
    <brk id="31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AJ89"/>
  <sheetViews>
    <sheetView workbookViewId="0">
      <selection activeCell="F18" sqref="F18"/>
    </sheetView>
  </sheetViews>
  <sheetFormatPr defaultColWidth="9.140625" defaultRowHeight="12.75" x14ac:dyDescent="0.2"/>
  <cols>
    <col min="1" max="1" width="2.85546875" style="58" customWidth="1"/>
    <col min="2" max="2" width="3.5703125" style="58" customWidth="1"/>
    <col min="3" max="3" width="27.42578125" style="58" customWidth="1"/>
    <col min="4" max="4" width="3.140625" style="58" customWidth="1"/>
    <col min="5" max="5" width="3" style="58" customWidth="1"/>
    <col min="6" max="6" width="18" style="58" customWidth="1"/>
    <col min="7" max="7" width="9.140625" style="58"/>
    <col min="8" max="8" width="2.5703125" style="58" customWidth="1"/>
    <col min="9" max="12" width="9.140625" style="59"/>
    <col min="13" max="36" width="9.140625" style="60"/>
    <col min="37" max="16384" width="9.140625" style="58"/>
  </cols>
  <sheetData>
    <row r="3" spans="1:8" ht="15.75" x14ac:dyDescent="0.25">
      <c r="A3" s="525" t="s">
        <v>158</v>
      </c>
      <c r="B3" s="525"/>
      <c r="C3" s="525"/>
      <c r="D3" s="525"/>
      <c r="E3" s="525"/>
      <c r="F3" s="525"/>
      <c r="G3" s="525"/>
      <c r="H3" s="525"/>
    </row>
    <row r="4" spans="1:8" ht="15.75" x14ac:dyDescent="0.25">
      <c r="A4" s="61"/>
    </row>
    <row r="7" spans="1:8" x14ac:dyDescent="0.2">
      <c r="A7" s="62"/>
      <c r="B7" s="62"/>
      <c r="C7" s="62"/>
      <c r="D7" s="62"/>
      <c r="E7" s="62"/>
      <c r="F7" s="62"/>
      <c r="G7" s="62"/>
      <c r="H7" s="62"/>
    </row>
    <row r="8" spans="1:8" x14ac:dyDescent="0.2">
      <c r="A8" s="62"/>
      <c r="B8" s="63" t="s">
        <v>159</v>
      </c>
      <c r="C8" s="64" t="s">
        <v>160</v>
      </c>
      <c r="D8" s="62"/>
      <c r="E8" s="65"/>
      <c r="F8" s="66" t="s">
        <v>161</v>
      </c>
      <c r="G8" s="67" t="s">
        <v>162</v>
      </c>
      <c r="H8" s="62"/>
    </row>
    <row r="9" spans="1:8" x14ac:dyDescent="0.2">
      <c r="A9" s="62"/>
      <c r="B9" s="68"/>
      <c r="D9" s="62"/>
      <c r="E9" s="69" t="s">
        <v>159</v>
      </c>
      <c r="F9" s="70" t="s">
        <v>163</v>
      </c>
      <c r="G9" s="71" t="s">
        <v>164</v>
      </c>
      <c r="H9" s="62"/>
    </row>
    <row r="10" spans="1:8" x14ac:dyDescent="0.2">
      <c r="A10" s="62"/>
      <c r="B10" s="68">
        <v>1</v>
      </c>
      <c r="C10" s="72"/>
      <c r="D10" s="62"/>
      <c r="E10" s="69"/>
      <c r="F10" s="70" t="s">
        <v>165</v>
      </c>
      <c r="G10" s="71" t="s">
        <v>166</v>
      </c>
      <c r="H10" s="62"/>
    </row>
    <row r="11" spans="1:8" x14ac:dyDescent="0.2">
      <c r="A11" s="62"/>
      <c r="B11" s="68">
        <v>2</v>
      </c>
      <c r="C11" s="72"/>
      <c r="D11" s="62"/>
      <c r="E11" s="73"/>
      <c r="F11" s="74"/>
      <c r="G11" s="75"/>
      <c r="H11" s="62"/>
    </row>
    <row r="12" spans="1:8" x14ac:dyDescent="0.2">
      <c r="A12" s="62"/>
      <c r="B12" s="68">
        <v>3</v>
      </c>
      <c r="C12" s="72"/>
      <c r="D12" s="62"/>
      <c r="E12" s="73"/>
      <c r="F12" s="74"/>
      <c r="G12" s="75"/>
      <c r="H12" s="62"/>
    </row>
    <row r="13" spans="1:8" x14ac:dyDescent="0.2">
      <c r="A13" s="62"/>
      <c r="B13" s="68">
        <v>4</v>
      </c>
      <c r="C13" s="72"/>
      <c r="D13" s="62"/>
      <c r="E13" s="73">
        <v>1</v>
      </c>
      <c r="F13" s="76" t="s">
        <v>167</v>
      </c>
      <c r="G13" s="77">
        <v>0</v>
      </c>
      <c r="H13" s="62"/>
    </row>
    <row r="14" spans="1:8" x14ac:dyDescent="0.2">
      <c r="A14" s="62"/>
      <c r="B14" s="68">
        <v>5</v>
      </c>
      <c r="C14" s="72"/>
      <c r="D14" s="62"/>
      <c r="E14" s="73">
        <v>2</v>
      </c>
      <c r="F14" s="76" t="s">
        <v>168</v>
      </c>
      <c r="G14" s="77">
        <v>0.05</v>
      </c>
      <c r="H14" s="62"/>
    </row>
    <row r="15" spans="1:8" x14ac:dyDescent="0.2">
      <c r="A15" s="62"/>
      <c r="B15" s="68">
        <v>6</v>
      </c>
      <c r="C15" s="72"/>
      <c r="D15" s="62"/>
      <c r="E15" s="73">
        <v>3</v>
      </c>
      <c r="F15" s="76" t="s">
        <v>169</v>
      </c>
      <c r="G15" s="77">
        <v>0.1</v>
      </c>
      <c r="H15" s="62"/>
    </row>
    <row r="16" spans="1:8" x14ac:dyDescent="0.2">
      <c r="A16" s="62"/>
      <c r="B16" s="68">
        <v>7</v>
      </c>
      <c r="C16" s="72"/>
      <c r="D16" s="62"/>
      <c r="E16" s="78"/>
      <c r="F16" s="79"/>
      <c r="G16" s="80"/>
      <c r="H16" s="62"/>
    </row>
    <row r="17" spans="1:36" x14ac:dyDescent="0.2">
      <c r="A17" s="62"/>
      <c r="B17" s="68">
        <v>8</v>
      </c>
      <c r="C17" s="72"/>
      <c r="D17" s="62"/>
      <c r="E17" s="73">
        <v>1</v>
      </c>
      <c r="F17" s="76" t="s">
        <v>167</v>
      </c>
      <c r="G17" s="77">
        <v>0.2</v>
      </c>
      <c r="H17" s="62"/>
    </row>
    <row r="18" spans="1:36" x14ac:dyDescent="0.2">
      <c r="A18" s="62"/>
      <c r="B18" s="68">
        <v>9</v>
      </c>
      <c r="C18" s="72"/>
      <c r="D18" s="62"/>
      <c r="E18" s="73">
        <v>2</v>
      </c>
      <c r="F18" s="76" t="s">
        <v>168</v>
      </c>
      <c r="G18" s="77">
        <v>0.1</v>
      </c>
      <c r="H18" s="62"/>
    </row>
    <row r="19" spans="1:36" x14ac:dyDescent="0.2">
      <c r="A19" s="62"/>
      <c r="B19" s="68">
        <v>10</v>
      </c>
      <c r="C19" s="72"/>
      <c r="D19" s="62"/>
      <c r="E19" s="73">
        <v>3</v>
      </c>
      <c r="F19" s="76" t="s">
        <v>169</v>
      </c>
      <c r="G19" s="77">
        <v>0</v>
      </c>
      <c r="H19" s="62"/>
    </row>
    <row r="20" spans="1:36" x14ac:dyDescent="0.2">
      <c r="A20" s="62"/>
      <c r="B20" s="68"/>
      <c r="C20" s="72"/>
      <c r="D20" s="62"/>
      <c r="E20" s="81"/>
      <c r="F20" s="82"/>
      <c r="G20" s="83"/>
      <c r="H20" s="62"/>
    </row>
    <row r="21" spans="1:36" x14ac:dyDescent="0.2">
      <c r="A21" s="62"/>
      <c r="B21" s="62"/>
      <c r="C21" s="62"/>
      <c r="D21" s="62"/>
      <c r="E21" s="62"/>
      <c r="F21" s="62"/>
      <c r="G21" s="62"/>
      <c r="H21" s="62"/>
    </row>
    <row r="22" spans="1:36" x14ac:dyDescent="0.2">
      <c r="H22" s="59"/>
    </row>
    <row r="23" spans="1:36" x14ac:dyDescent="0.2">
      <c r="A23" s="84"/>
      <c r="B23" s="85"/>
      <c r="C23" s="84"/>
      <c r="D23" s="84"/>
      <c r="E23" s="84"/>
      <c r="F23" s="84"/>
      <c r="G23" s="84"/>
      <c r="H23" s="59"/>
    </row>
    <row r="24" spans="1:36" s="89" customFormat="1" x14ac:dyDescent="0.2">
      <c r="A24" s="86"/>
      <c r="B24" s="87"/>
      <c r="C24" s="88"/>
      <c r="D24" s="88"/>
      <c r="E24" s="88"/>
      <c r="F24" s="88"/>
      <c r="G24" s="88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  <c r="AJ24" s="59"/>
    </row>
    <row r="25" spans="1:36" s="89" customFormat="1" x14ac:dyDescent="0.2">
      <c r="A25" s="86"/>
      <c r="B25" s="90"/>
      <c r="C25" s="90"/>
      <c r="D25" s="90"/>
      <c r="E25" s="90"/>
      <c r="F25" s="90"/>
      <c r="G25" s="90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</row>
    <row r="26" spans="1:36" s="89" customFormat="1" x14ac:dyDescent="0.2">
      <c r="A26" s="86"/>
      <c r="B26" s="88"/>
      <c r="C26" s="88"/>
      <c r="D26" s="91"/>
      <c r="E26" s="91"/>
      <c r="F26" s="91"/>
      <c r="G26" s="90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</row>
    <row r="27" spans="1:36" s="89" customFormat="1" x14ac:dyDescent="0.2">
      <c r="A27" s="86"/>
      <c r="B27" s="91"/>
      <c r="C27" s="92"/>
      <c r="D27" s="90"/>
      <c r="E27" s="90"/>
      <c r="F27" s="90"/>
      <c r="G27" s="88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</row>
    <row r="28" spans="1:36" s="89" customFormat="1" x14ac:dyDescent="0.2">
      <c r="A28" s="86"/>
      <c r="B28" s="88"/>
      <c r="C28" s="88"/>
      <c r="D28" s="88"/>
      <c r="E28" s="88"/>
      <c r="F28" s="88"/>
      <c r="G28" s="88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  <c r="AE28" s="59"/>
      <c r="AF28" s="59"/>
      <c r="AG28" s="59"/>
      <c r="AH28" s="59"/>
      <c r="AI28" s="59"/>
      <c r="AJ28" s="59"/>
    </row>
    <row r="29" spans="1:36" s="89" customFormat="1" x14ac:dyDescent="0.2">
      <c r="A29" s="86"/>
      <c r="B29" s="88"/>
      <c r="C29" s="88"/>
      <c r="D29" s="88"/>
      <c r="E29" s="88"/>
      <c r="F29" s="88"/>
      <c r="G29" s="88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  <c r="AI29" s="59"/>
      <c r="AJ29" s="59"/>
    </row>
    <row r="30" spans="1:36" s="89" customFormat="1" x14ac:dyDescent="0.2">
      <c r="A30" s="86"/>
      <c r="B30" s="88"/>
      <c r="C30" s="88"/>
      <c r="D30" s="88"/>
      <c r="E30" s="88"/>
      <c r="F30" s="88"/>
      <c r="G30" s="88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</row>
    <row r="31" spans="1:36" s="89" customFormat="1" x14ac:dyDescent="0.2">
      <c r="A31" s="86"/>
      <c r="B31" s="88"/>
      <c r="C31" s="88"/>
      <c r="D31" s="88"/>
      <c r="E31" s="88"/>
      <c r="F31" s="88"/>
      <c r="G31" s="88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59"/>
      <c r="AB31" s="59"/>
      <c r="AC31" s="59"/>
      <c r="AD31" s="59"/>
      <c r="AE31" s="59"/>
      <c r="AF31" s="59"/>
      <c r="AG31" s="59"/>
      <c r="AH31" s="59"/>
      <c r="AI31" s="59"/>
      <c r="AJ31" s="59"/>
    </row>
    <row r="32" spans="1:36" s="89" customFormat="1" x14ac:dyDescent="0.2">
      <c r="A32" s="86"/>
      <c r="B32" s="88"/>
      <c r="C32" s="88"/>
      <c r="D32" s="88"/>
      <c r="E32" s="88"/>
      <c r="F32" s="88"/>
      <c r="G32" s="88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59"/>
      <c r="AG32" s="59"/>
      <c r="AH32" s="59"/>
      <c r="AI32" s="59"/>
      <c r="AJ32" s="59"/>
    </row>
    <row r="33" spans="1:36" s="89" customFormat="1" x14ac:dyDescent="0.2">
      <c r="A33" s="86"/>
      <c r="B33" s="88"/>
      <c r="C33" s="88"/>
      <c r="D33" s="88"/>
      <c r="E33" s="88"/>
      <c r="F33" s="88"/>
      <c r="G33" s="88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59"/>
      <c r="AG33" s="59"/>
      <c r="AH33" s="59"/>
      <c r="AI33" s="59"/>
      <c r="AJ33" s="59"/>
    </row>
    <row r="34" spans="1:36" s="89" customFormat="1" x14ac:dyDescent="0.2">
      <c r="A34" s="86"/>
      <c r="B34" s="88"/>
      <c r="C34" s="88"/>
      <c r="D34" s="88"/>
      <c r="E34" s="88"/>
      <c r="F34" s="88"/>
      <c r="G34" s="88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59"/>
      <c r="AJ34" s="59"/>
    </row>
    <row r="35" spans="1:36" s="89" customFormat="1" x14ac:dyDescent="0.2">
      <c r="A35" s="86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59"/>
      <c r="AG35" s="59"/>
      <c r="AH35" s="59"/>
      <c r="AI35" s="59"/>
      <c r="AJ35" s="59"/>
    </row>
    <row r="36" spans="1:36" s="89" customFormat="1" x14ac:dyDescent="0.2">
      <c r="A36" s="86"/>
      <c r="B36" s="93"/>
      <c r="C36" s="93"/>
      <c r="D36" s="93"/>
      <c r="E36" s="93"/>
      <c r="F36" s="93"/>
      <c r="G36" s="93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9"/>
      <c r="AI36" s="59"/>
      <c r="AJ36" s="59"/>
    </row>
    <row r="37" spans="1:36" s="89" customFormat="1" x14ac:dyDescent="0.2">
      <c r="A37" s="86"/>
      <c r="B37" s="59"/>
      <c r="C37" s="59"/>
      <c r="D37" s="94"/>
      <c r="E37" s="94"/>
      <c r="F37" s="94"/>
      <c r="G37" s="93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</row>
    <row r="38" spans="1:36" s="89" customFormat="1" x14ac:dyDescent="0.2">
      <c r="A38" s="86"/>
      <c r="B38" s="94"/>
      <c r="C38" s="95"/>
      <c r="D38" s="93"/>
      <c r="E38" s="93"/>
      <c r="F38" s="93"/>
      <c r="G38" s="59"/>
      <c r="H38" s="86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59"/>
      <c r="AG38" s="59"/>
      <c r="AH38" s="59"/>
      <c r="AI38" s="59"/>
      <c r="AJ38" s="59"/>
    </row>
    <row r="39" spans="1:36" s="89" customFormat="1" x14ac:dyDescent="0.2">
      <c r="A39" s="86"/>
      <c r="B39" s="59"/>
      <c r="C39" s="59"/>
      <c r="D39" s="59"/>
      <c r="E39" s="59"/>
      <c r="F39" s="59"/>
      <c r="G39" s="59"/>
      <c r="H39" s="86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9"/>
      <c r="AE39" s="59"/>
      <c r="AF39" s="59"/>
      <c r="AG39" s="59"/>
      <c r="AH39" s="59"/>
      <c r="AI39" s="59"/>
      <c r="AJ39" s="59"/>
    </row>
    <row r="40" spans="1:36" s="89" customFormat="1" x14ac:dyDescent="0.2">
      <c r="A40" s="86"/>
      <c r="B40" s="59"/>
      <c r="C40" s="59"/>
      <c r="D40" s="59"/>
      <c r="E40" s="59"/>
      <c r="F40" s="59"/>
      <c r="G40" s="59"/>
      <c r="H40" s="86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</row>
    <row r="41" spans="1:36" s="89" customFormat="1" x14ac:dyDescent="0.2">
      <c r="A41" s="86"/>
      <c r="B41" s="96"/>
      <c r="C41" s="59"/>
      <c r="D41" s="59"/>
      <c r="E41" s="59"/>
      <c r="F41" s="59"/>
      <c r="G41" s="59"/>
      <c r="H41" s="86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</row>
    <row r="42" spans="1:36" s="89" customFormat="1" x14ac:dyDescent="0.2">
      <c r="A42" s="86"/>
      <c r="B42" s="97"/>
      <c r="C42" s="59"/>
      <c r="D42" s="59"/>
      <c r="E42" s="59"/>
      <c r="F42" s="59"/>
      <c r="G42" s="59"/>
      <c r="H42" s="86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</row>
    <row r="43" spans="1:36" s="89" customFormat="1" x14ac:dyDescent="0.2">
      <c r="A43" s="86"/>
      <c r="B43" s="59"/>
      <c r="C43" s="59"/>
      <c r="D43" s="59"/>
      <c r="E43" s="59"/>
      <c r="F43" s="59"/>
      <c r="G43" s="59"/>
      <c r="H43" s="86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</row>
    <row r="44" spans="1:36" s="89" customFormat="1" x14ac:dyDescent="0.2">
      <c r="A44" s="86"/>
      <c r="B44" s="93"/>
      <c r="C44" s="93"/>
      <c r="D44" s="93"/>
      <c r="E44" s="93"/>
      <c r="F44" s="93"/>
      <c r="G44" s="93"/>
      <c r="H44" s="86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</row>
    <row r="45" spans="1:36" s="89" customFormat="1" x14ac:dyDescent="0.2">
      <c r="B45" s="59"/>
      <c r="C45" s="59"/>
      <c r="D45" s="94"/>
      <c r="E45" s="94"/>
      <c r="F45" s="94"/>
      <c r="G45" s="93"/>
      <c r="H45" s="98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</row>
    <row r="46" spans="1:36" s="89" customFormat="1" x14ac:dyDescent="0.2">
      <c r="B46" s="94"/>
      <c r="C46" s="95"/>
      <c r="D46" s="93"/>
      <c r="E46" s="93"/>
      <c r="F46" s="93"/>
      <c r="G46" s="59"/>
      <c r="H46" s="9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</row>
    <row r="47" spans="1:36" s="89" customFormat="1" x14ac:dyDescent="0.2">
      <c r="B47" s="94"/>
      <c r="C47" s="95"/>
      <c r="D47" s="93"/>
      <c r="E47" s="93"/>
      <c r="F47" s="93"/>
      <c r="G47" s="59"/>
      <c r="H47" s="9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</row>
    <row r="48" spans="1:36" s="89" customFormat="1" x14ac:dyDescent="0.2">
      <c r="B48" s="94"/>
      <c r="C48" s="95"/>
      <c r="D48" s="93"/>
      <c r="E48" s="93"/>
      <c r="F48" s="93"/>
      <c r="G48" s="59"/>
      <c r="H48" s="9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</row>
    <row r="49" spans="1:36" s="89" customFormat="1" x14ac:dyDescent="0.2">
      <c r="B49" s="94"/>
      <c r="C49" s="95"/>
      <c r="D49" s="93"/>
      <c r="E49" s="93"/>
      <c r="F49" s="93"/>
      <c r="G49" s="59"/>
      <c r="H49" s="9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</row>
    <row r="50" spans="1:36" s="89" customFormat="1" x14ac:dyDescent="0.2">
      <c r="B50" s="94"/>
      <c r="C50" s="95"/>
      <c r="D50" s="93"/>
      <c r="E50" s="93"/>
      <c r="F50" s="93"/>
      <c r="G50" s="59"/>
      <c r="H50" s="9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</row>
    <row r="51" spans="1:36" s="89" customFormat="1" x14ac:dyDescent="0.2">
      <c r="B51" s="94"/>
      <c r="C51" s="95"/>
      <c r="D51" s="93"/>
      <c r="E51" s="93"/>
      <c r="F51" s="93"/>
      <c r="G51" s="59"/>
      <c r="H51" s="98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</row>
    <row r="52" spans="1:36" s="89" customFormat="1" x14ac:dyDescent="0.2">
      <c r="A52" s="86"/>
      <c r="B52" s="59"/>
      <c r="C52" s="59"/>
      <c r="D52" s="59"/>
      <c r="E52" s="59"/>
      <c r="F52" s="59"/>
      <c r="G52" s="59"/>
      <c r="H52" s="9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</row>
    <row r="53" spans="1:36" s="89" customFormat="1" x14ac:dyDescent="0.2">
      <c r="A53" s="86"/>
      <c r="B53" s="86"/>
      <c r="C53" s="86"/>
      <c r="D53" s="86"/>
      <c r="E53" s="86"/>
      <c r="F53" s="86"/>
      <c r="G53" s="86"/>
      <c r="H53" s="9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</row>
    <row r="54" spans="1:36" s="89" customFormat="1" x14ac:dyDescent="0.2">
      <c r="A54" s="86"/>
      <c r="B54" s="86"/>
      <c r="C54" s="86"/>
      <c r="D54" s="86"/>
      <c r="E54" s="86"/>
      <c r="F54" s="86"/>
      <c r="G54" s="86"/>
      <c r="H54" s="86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</row>
    <row r="55" spans="1:36" s="89" customFormat="1" x14ac:dyDescent="0.2">
      <c r="A55" s="86"/>
      <c r="B55" s="98"/>
      <c r="C55" s="86"/>
      <c r="D55" s="86"/>
      <c r="E55" s="86"/>
      <c r="F55" s="86"/>
      <c r="G55" s="86"/>
      <c r="H55" s="86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59"/>
    </row>
    <row r="56" spans="1:36" s="89" customFormat="1" x14ac:dyDescent="0.2"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</row>
    <row r="57" spans="1:36" s="89" customFormat="1" x14ac:dyDescent="0.2"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59"/>
      <c r="AG57" s="59"/>
      <c r="AH57" s="59"/>
      <c r="AI57" s="59"/>
      <c r="AJ57" s="59"/>
    </row>
    <row r="58" spans="1:36" s="89" customFormat="1" x14ac:dyDescent="0.2"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59"/>
      <c r="AB58" s="59"/>
      <c r="AC58" s="59"/>
      <c r="AD58" s="59"/>
      <c r="AE58" s="59"/>
      <c r="AF58" s="59"/>
      <c r="AG58" s="59"/>
      <c r="AH58" s="59"/>
      <c r="AI58" s="59"/>
      <c r="AJ58" s="59"/>
    </row>
    <row r="59" spans="1:36" s="89" customFormat="1" x14ac:dyDescent="0.2"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59"/>
      <c r="AE59" s="59"/>
      <c r="AF59" s="59"/>
      <c r="AG59" s="59"/>
      <c r="AH59" s="59"/>
      <c r="AI59" s="59"/>
      <c r="AJ59" s="59"/>
    </row>
    <row r="60" spans="1:36" s="89" customFormat="1" x14ac:dyDescent="0.2"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9"/>
      <c r="AC60" s="59"/>
      <c r="AD60" s="59"/>
      <c r="AE60" s="59"/>
      <c r="AF60" s="59"/>
      <c r="AG60" s="59"/>
      <c r="AH60" s="59"/>
      <c r="AI60" s="59"/>
      <c r="AJ60" s="59"/>
    </row>
    <row r="61" spans="1:36" s="89" customFormat="1" x14ac:dyDescent="0.2"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59"/>
      <c r="AA61" s="59"/>
      <c r="AB61" s="59"/>
      <c r="AC61" s="59"/>
      <c r="AD61" s="59"/>
      <c r="AE61" s="59"/>
      <c r="AF61" s="59"/>
      <c r="AG61" s="59"/>
      <c r="AH61" s="59"/>
      <c r="AI61" s="59"/>
      <c r="AJ61" s="59"/>
    </row>
    <row r="62" spans="1:36" s="89" customFormat="1" x14ac:dyDescent="0.2"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59"/>
      <c r="AA62" s="59"/>
      <c r="AB62" s="59"/>
      <c r="AC62" s="59"/>
      <c r="AD62" s="59"/>
      <c r="AE62" s="59"/>
      <c r="AF62" s="59"/>
      <c r="AG62" s="59"/>
      <c r="AH62" s="59"/>
      <c r="AI62" s="59"/>
      <c r="AJ62" s="59"/>
    </row>
    <row r="63" spans="1:36" s="89" customFormat="1" x14ac:dyDescent="0.2"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  <c r="Z63" s="59"/>
      <c r="AA63" s="59"/>
      <c r="AB63" s="59"/>
      <c r="AC63" s="59"/>
      <c r="AD63" s="59"/>
      <c r="AE63" s="59"/>
      <c r="AF63" s="59"/>
      <c r="AG63" s="59"/>
      <c r="AH63" s="59"/>
      <c r="AI63" s="59"/>
      <c r="AJ63" s="59"/>
    </row>
    <row r="64" spans="1:36" s="89" customFormat="1" x14ac:dyDescent="0.2"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59"/>
      <c r="AA64" s="59"/>
      <c r="AB64" s="59"/>
      <c r="AC64" s="59"/>
      <c r="AD64" s="59"/>
      <c r="AE64" s="59"/>
      <c r="AF64" s="59"/>
      <c r="AG64" s="59"/>
      <c r="AH64" s="59"/>
      <c r="AI64" s="59"/>
      <c r="AJ64" s="59"/>
    </row>
    <row r="65" spans="9:36" s="89" customFormat="1" x14ac:dyDescent="0.2"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  <c r="AA65" s="59"/>
      <c r="AB65" s="59"/>
      <c r="AC65" s="59"/>
      <c r="AD65" s="59"/>
      <c r="AE65" s="59"/>
      <c r="AF65" s="59"/>
      <c r="AG65" s="59"/>
      <c r="AH65" s="59"/>
      <c r="AI65" s="59"/>
      <c r="AJ65" s="59"/>
    </row>
    <row r="66" spans="9:36" s="89" customFormat="1" x14ac:dyDescent="0.2"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59"/>
      <c r="AA66" s="59"/>
      <c r="AB66" s="59"/>
      <c r="AC66" s="59"/>
      <c r="AD66" s="59"/>
      <c r="AE66" s="59"/>
      <c r="AF66" s="59"/>
      <c r="AG66" s="59"/>
      <c r="AH66" s="59"/>
      <c r="AI66" s="59"/>
      <c r="AJ66" s="59"/>
    </row>
    <row r="67" spans="9:36" s="89" customFormat="1" x14ac:dyDescent="0.2"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  <c r="AA67" s="59"/>
      <c r="AB67" s="59"/>
      <c r="AC67" s="59"/>
      <c r="AD67" s="59"/>
      <c r="AE67" s="59"/>
      <c r="AF67" s="59"/>
      <c r="AG67" s="59"/>
      <c r="AH67" s="59"/>
      <c r="AI67" s="59"/>
      <c r="AJ67" s="59"/>
    </row>
    <row r="68" spans="9:36" s="89" customFormat="1" x14ac:dyDescent="0.2"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59"/>
      <c r="AA68" s="59"/>
      <c r="AB68" s="59"/>
      <c r="AC68" s="59"/>
      <c r="AD68" s="59"/>
      <c r="AE68" s="59"/>
      <c r="AF68" s="59"/>
      <c r="AG68" s="59"/>
      <c r="AH68" s="59"/>
      <c r="AI68" s="59"/>
      <c r="AJ68" s="59"/>
    </row>
    <row r="69" spans="9:36" s="89" customFormat="1" x14ac:dyDescent="0.2"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59"/>
      <c r="AA69" s="59"/>
      <c r="AB69" s="59"/>
      <c r="AC69" s="59"/>
      <c r="AD69" s="59"/>
      <c r="AE69" s="59"/>
      <c r="AF69" s="59"/>
      <c r="AG69" s="59"/>
      <c r="AH69" s="59"/>
      <c r="AI69" s="59"/>
      <c r="AJ69" s="59"/>
    </row>
    <row r="70" spans="9:36" s="89" customFormat="1" x14ac:dyDescent="0.2"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59"/>
      <c r="AG70" s="59"/>
      <c r="AH70" s="59"/>
      <c r="AI70" s="59"/>
      <c r="AJ70" s="59"/>
    </row>
    <row r="71" spans="9:36" s="89" customFormat="1" x14ac:dyDescent="0.2"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59"/>
      <c r="AH71" s="59"/>
      <c r="AI71" s="59"/>
      <c r="AJ71" s="59"/>
    </row>
    <row r="72" spans="9:36" s="89" customFormat="1" x14ac:dyDescent="0.2"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59"/>
      <c r="AG72" s="59"/>
      <c r="AH72" s="59"/>
      <c r="AI72" s="59"/>
      <c r="AJ72" s="59"/>
    </row>
    <row r="73" spans="9:36" s="89" customFormat="1" x14ac:dyDescent="0.2"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59"/>
      <c r="AG73" s="59"/>
      <c r="AH73" s="59"/>
      <c r="AI73" s="59"/>
      <c r="AJ73" s="59"/>
    </row>
    <row r="74" spans="9:36" s="89" customFormat="1" x14ac:dyDescent="0.2"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59"/>
      <c r="AG74" s="59"/>
      <c r="AH74" s="59"/>
      <c r="AI74" s="59"/>
      <c r="AJ74" s="59"/>
    </row>
    <row r="75" spans="9:36" s="89" customFormat="1" x14ac:dyDescent="0.2"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9"/>
      <c r="AC75" s="59"/>
      <c r="AD75" s="59"/>
      <c r="AE75" s="59"/>
      <c r="AF75" s="59"/>
      <c r="AG75" s="59"/>
      <c r="AH75" s="59"/>
      <c r="AI75" s="59"/>
      <c r="AJ75" s="59"/>
    </row>
    <row r="76" spans="9:36" s="89" customFormat="1" x14ac:dyDescent="0.2"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59"/>
      <c r="AG76" s="59"/>
      <c r="AH76" s="59"/>
      <c r="AI76" s="59"/>
      <c r="AJ76" s="59"/>
    </row>
    <row r="77" spans="9:36" s="89" customFormat="1" x14ac:dyDescent="0.2"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  <c r="AA77" s="59"/>
      <c r="AB77" s="59"/>
      <c r="AC77" s="59"/>
      <c r="AD77" s="59"/>
      <c r="AE77" s="59"/>
      <c r="AF77" s="59"/>
      <c r="AG77" s="59"/>
      <c r="AH77" s="59"/>
      <c r="AI77" s="59"/>
      <c r="AJ77" s="59"/>
    </row>
    <row r="78" spans="9:36" s="89" customFormat="1" x14ac:dyDescent="0.2"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9"/>
      <c r="AF78" s="59"/>
      <c r="AG78" s="59"/>
      <c r="AH78" s="59"/>
      <c r="AI78" s="59"/>
      <c r="AJ78" s="59"/>
    </row>
    <row r="79" spans="9:36" s="89" customFormat="1" x14ac:dyDescent="0.2"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F79" s="59"/>
      <c r="AG79" s="59"/>
      <c r="AH79" s="59"/>
      <c r="AI79" s="59"/>
      <c r="AJ79" s="59"/>
    </row>
    <row r="80" spans="9:36" s="89" customFormat="1" x14ac:dyDescent="0.2"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59"/>
      <c r="AA80" s="59"/>
      <c r="AB80" s="59"/>
      <c r="AC80" s="59"/>
      <c r="AD80" s="59"/>
      <c r="AE80" s="59"/>
      <c r="AF80" s="59"/>
      <c r="AG80" s="59"/>
      <c r="AH80" s="59"/>
      <c r="AI80" s="59"/>
      <c r="AJ80" s="59"/>
    </row>
    <row r="81" spans="9:36" s="89" customFormat="1" x14ac:dyDescent="0.2"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59"/>
      <c r="AC81" s="59"/>
      <c r="AD81" s="59"/>
      <c r="AE81" s="59"/>
      <c r="AF81" s="59"/>
      <c r="AG81" s="59"/>
      <c r="AH81" s="59"/>
      <c r="AI81" s="59"/>
      <c r="AJ81" s="59"/>
    </row>
    <row r="82" spans="9:36" s="89" customFormat="1" x14ac:dyDescent="0.2"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59"/>
      <c r="AA82" s="59"/>
      <c r="AB82" s="59"/>
      <c r="AC82" s="59"/>
      <c r="AD82" s="59"/>
      <c r="AE82" s="59"/>
      <c r="AF82" s="59"/>
      <c r="AG82" s="59"/>
      <c r="AH82" s="59"/>
      <c r="AI82" s="59"/>
      <c r="AJ82" s="59"/>
    </row>
    <row r="83" spans="9:36" s="89" customFormat="1" x14ac:dyDescent="0.2"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59"/>
      <c r="AA83" s="59"/>
      <c r="AB83" s="59"/>
      <c r="AC83" s="59"/>
      <c r="AD83" s="59"/>
      <c r="AE83" s="59"/>
      <c r="AF83" s="59"/>
      <c r="AG83" s="59"/>
      <c r="AH83" s="59"/>
      <c r="AI83" s="59"/>
      <c r="AJ83" s="59"/>
    </row>
    <row r="84" spans="9:36" s="89" customFormat="1" x14ac:dyDescent="0.2"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9"/>
      <c r="AC84" s="59"/>
      <c r="AD84" s="59"/>
      <c r="AE84" s="59"/>
      <c r="AF84" s="59"/>
      <c r="AG84" s="59"/>
      <c r="AH84" s="59"/>
      <c r="AI84" s="59"/>
      <c r="AJ84" s="59"/>
    </row>
    <row r="85" spans="9:36" s="89" customFormat="1" x14ac:dyDescent="0.2"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59"/>
      <c r="AA85" s="59"/>
      <c r="AB85" s="59"/>
      <c r="AC85" s="59"/>
      <c r="AD85" s="59"/>
      <c r="AE85" s="59"/>
      <c r="AF85" s="59"/>
      <c r="AG85" s="59"/>
      <c r="AH85" s="59"/>
      <c r="AI85" s="59"/>
      <c r="AJ85" s="59"/>
    </row>
    <row r="86" spans="9:36" s="89" customFormat="1" x14ac:dyDescent="0.2"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59"/>
      <c r="AA86" s="59"/>
      <c r="AB86" s="59"/>
      <c r="AC86" s="59"/>
      <c r="AD86" s="59"/>
      <c r="AE86" s="59"/>
      <c r="AF86" s="59"/>
      <c r="AG86" s="59"/>
      <c r="AH86" s="59"/>
      <c r="AI86" s="59"/>
      <c r="AJ86" s="59"/>
    </row>
    <row r="87" spans="9:36" s="89" customFormat="1" x14ac:dyDescent="0.2"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  <c r="AD87" s="59"/>
      <c r="AE87" s="59"/>
      <c r="AF87" s="59"/>
      <c r="AG87" s="59"/>
      <c r="AH87" s="59"/>
      <c r="AI87" s="59"/>
      <c r="AJ87" s="59"/>
    </row>
    <row r="88" spans="9:36" s="89" customFormat="1" x14ac:dyDescent="0.2"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  <c r="AG88" s="59"/>
      <c r="AH88" s="59"/>
      <c r="AI88" s="59"/>
      <c r="AJ88" s="59"/>
    </row>
    <row r="89" spans="9:36" s="89" customFormat="1" x14ac:dyDescent="0.2"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59"/>
      <c r="AG89" s="59"/>
      <c r="AH89" s="59"/>
      <c r="AI89" s="59"/>
      <c r="AJ89" s="59"/>
    </row>
  </sheetData>
  <sheetProtection password="DC2E" sheet="1" objects="1" scenarios="1"/>
  <mergeCells count="1">
    <mergeCell ref="A3:H3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"/>
  <sheetViews>
    <sheetView workbookViewId="0">
      <selection sqref="A1:D1"/>
    </sheetView>
  </sheetViews>
  <sheetFormatPr defaultColWidth="9.140625" defaultRowHeight="12.75" x14ac:dyDescent="0.2"/>
  <cols>
    <col min="1" max="1" width="31.140625" style="45" bestFit="1" customWidth="1"/>
    <col min="2" max="2" width="19" style="45" bestFit="1" customWidth="1"/>
    <col min="3" max="3" width="10.42578125" style="45" bestFit="1" customWidth="1"/>
    <col min="4" max="4" width="11" style="45" bestFit="1" customWidth="1"/>
    <col min="5" max="16384" width="9.140625" style="45"/>
  </cols>
  <sheetData>
    <row r="1" spans="1:5" ht="16.5" thickBot="1" x14ac:dyDescent="0.25">
      <c r="A1" s="415" t="s">
        <v>277</v>
      </c>
      <c r="B1" s="416"/>
      <c r="C1" s="416"/>
      <c r="D1" s="417"/>
    </row>
    <row r="3" spans="1:5" x14ac:dyDescent="0.2">
      <c r="A3" s="155" t="s">
        <v>212</v>
      </c>
      <c r="C3" s="52"/>
      <c r="D3" s="52"/>
      <c r="E3" s="52"/>
    </row>
    <row r="4" spans="1:5" x14ac:dyDescent="0.2">
      <c r="A4" s="156" t="s">
        <v>213</v>
      </c>
      <c r="B4" s="156" t="s">
        <v>214</v>
      </c>
      <c r="C4" s="322"/>
      <c r="D4" s="322"/>
      <c r="E4" s="52"/>
    </row>
    <row r="5" spans="1:5" x14ac:dyDescent="0.2">
      <c r="A5" s="141" t="s">
        <v>215</v>
      </c>
      <c r="B5" s="141">
        <v>0.08</v>
      </c>
      <c r="C5" s="52"/>
      <c r="D5" s="52"/>
      <c r="E5" s="52"/>
    </row>
    <row r="6" spans="1:5" x14ac:dyDescent="0.2">
      <c r="A6" s="141" t="s">
        <v>216</v>
      </c>
      <c r="B6" s="141">
        <v>0.2</v>
      </c>
      <c r="C6" s="52"/>
      <c r="D6" s="52"/>
      <c r="E6" s="52"/>
    </row>
    <row r="7" spans="1:5" x14ac:dyDescent="0.2">
      <c r="A7" s="141" t="s">
        <v>217</v>
      </c>
      <c r="B7" s="141">
        <v>0.21</v>
      </c>
      <c r="C7" s="52"/>
      <c r="D7" s="52"/>
      <c r="E7" s="52"/>
    </row>
    <row r="8" spans="1:5" x14ac:dyDescent="0.2">
      <c r="A8" s="141" t="s">
        <v>218</v>
      </c>
      <c r="B8" s="141">
        <v>0.32</v>
      </c>
      <c r="C8" s="52"/>
      <c r="D8" s="52"/>
      <c r="E8" s="52"/>
    </row>
    <row r="9" spans="1:5" x14ac:dyDescent="0.2">
      <c r="A9" s="141" t="s">
        <v>219</v>
      </c>
      <c r="B9" s="141">
        <v>0.19</v>
      </c>
      <c r="C9" s="52"/>
      <c r="D9" s="52"/>
      <c r="E9" s="52"/>
    </row>
    <row r="10" spans="1:5" x14ac:dyDescent="0.2">
      <c r="A10" s="141" t="s">
        <v>36</v>
      </c>
      <c r="B10" s="141" t="s">
        <v>220</v>
      </c>
      <c r="C10" s="323"/>
      <c r="D10" s="52"/>
      <c r="E10" s="52"/>
    </row>
    <row r="11" spans="1:5" x14ac:dyDescent="0.2">
      <c r="A11" s="52"/>
      <c r="B11" s="52"/>
      <c r="C11" s="52"/>
      <c r="D11" s="52"/>
      <c r="E11" s="52"/>
    </row>
    <row r="15" spans="1:5" x14ac:dyDescent="0.2">
      <c r="A15" s="152"/>
    </row>
  </sheetData>
  <sheetProtection password="EBD9" sheet="1"/>
  <mergeCells count="1">
    <mergeCell ref="A1:D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/>
  </sheetPr>
  <dimension ref="A1:D50"/>
  <sheetViews>
    <sheetView workbookViewId="0"/>
  </sheetViews>
  <sheetFormatPr defaultColWidth="9.140625" defaultRowHeight="12.75" x14ac:dyDescent="0.2"/>
  <cols>
    <col min="1" max="1" width="11.28515625" style="169" customWidth="1"/>
    <col min="2" max="2" width="14.5703125" style="169" customWidth="1"/>
    <col min="3" max="3" width="24.85546875" style="45" customWidth="1"/>
    <col min="4" max="4" width="55.42578125" style="45" customWidth="1"/>
    <col min="5" max="16384" width="9.140625" style="45"/>
  </cols>
  <sheetData>
    <row r="1" spans="1:4" ht="30" customHeight="1" thickBot="1" x14ac:dyDescent="0.25">
      <c r="A1" s="158" t="s">
        <v>144</v>
      </c>
      <c r="B1" s="159" t="s">
        <v>145</v>
      </c>
      <c r="C1" s="159" t="s">
        <v>28</v>
      </c>
      <c r="D1" s="160" t="s">
        <v>146</v>
      </c>
    </row>
    <row r="2" spans="1:4" x14ac:dyDescent="0.2">
      <c r="A2" s="161" t="s">
        <v>147</v>
      </c>
      <c r="B2" s="162">
        <v>40400</v>
      </c>
      <c r="C2" s="161" t="s">
        <v>170</v>
      </c>
      <c r="D2" s="163" t="s">
        <v>200</v>
      </c>
    </row>
    <row r="3" spans="1:4" ht="38.25" x14ac:dyDescent="0.2">
      <c r="A3" s="164" t="s">
        <v>204</v>
      </c>
      <c r="B3" s="165">
        <v>40499</v>
      </c>
      <c r="C3" s="161" t="s">
        <v>205</v>
      </c>
      <c r="D3" s="166" t="s">
        <v>206</v>
      </c>
    </row>
    <row r="4" spans="1:4" ht="25.5" x14ac:dyDescent="0.2">
      <c r="A4" s="167" t="s">
        <v>207</v>
      </c>
      <c r="B4" s="165">
        <v>40505</v>
      </c>
      <c r="C4" s="167" t="s">
        <v>205</v>
      </c>
      <c r="D4" s="166" t="s">
        <v>208</v>
      </c>
    </row>
    <row r="5" spans="1:4" x14ac:dyDescent="0.2">
      <c r="A5" s="167" t="s">
        <v>272</v>
      </c>
      <c r="B5" s="165">
        <v>41305</v>
      </c>
      <c r="C5" s="167" t="s">
        <v>273</v>
      </c>
      <c r="D5" s="166" t="s">
        <v>274</v>
      </c>
    </row>
    <row r="6" spans="1:4" x14ac:dyDescent="0.2">
      <c r="A6" s="167"/>
      <c r="B6" s="165"/>
      <c r="C6" s="167"/>
      <c r="D6" s="168"/>
    </row>
    <row r="7" spans="1:4" x14ac:dyDescent="0.2">
      <c r="A7" s="167"/>
      <c r="B7" s="165"/>
      <c r="C7" s="167"/>
      <c r="D7" s="168"/>
    </row>
    <row r="8" spans="1:4" x14ac:dyDescent="0.2">
      <c r="A8" s="167"/>
      <c r="B8" s="165"/>
      <c r="C8" s="167"/>
      <c r="D8" s="168"/>
    </row>
    <row r="9" spans="1:4" x14ac:dyDescent="0.2">
      <c r="A9" s="167"/>
      <c r="B9" s="165"/>
      <c r="C9" s="167"/>
      <c r="D9" s="168"/>
    </row>
    <row r="10" spans="1:4" x14ac:dyDescent="0.2">
      <c r="A10" s="167"/>
      <c r="B10" s="165"/>
      <c r="C10" s="167"/>
      <c r="D10" s="168"/>
    </row>
    <row r="11" spans="1:4" x14ac:dyDescent="0.2">
      <c r="A11" s="167"/>
      <c r="B11" s="165"/>
      <c r="C11" s="167"/>
      <c r="D11" s="168"/>
    </row>
    <row r="12" spans="1:4" x14ac:dyDescent="0.2">
      <c r="A12" s="167"/>
      <c r="B12" s="165"/>
      <c r="C12" s="167"/>
      <c r="D12" s="168"/>
    </row>
    <row r="13" spans="1:4" x14ac:dyDescent="0.2">
      <c r="A13" s="167"/>
      <c r="B13" s="165"/>
      <c r="C13" s="167"/>
      <c r="D13" s="168"/>
    </row>
    <row r="14" spans="1:4" x14ac:dyDescent="0.2">
      <c r="A14" s="167"/>
      <c r="B14" s="165"/>
      <c r="C14" s="167"/>
      <c r="D14" s="168"/>
    </row>
    <row r="15" spans="1:4" x14ac:dyDescent="0.2">
      <c r="A15" s="167"/>
      <c r="B15" s="165"/>
      <c r="C15" s="167"/>
      <c r="D15" s="168"/>
    </row>
    <row r="16" spans="1:4" x14ac:dyDescent="0.2">
      <c r="A16" s="167"/>
      <c r="B16" s="165"/>
      <c r="C16" s="167"/>
      <c r="D16" s="168"/>
    </row>
    <row r="17" spans="1:4" x14ac:dyDescent="0.2">
      <c r="A17" s="167"/>
      <c r="B17" s="165"/>
      <c r="C17" s="167"/>
      <c r="D17" s="168"/>
    </row>
    <row r="18" spans="1:4" x14ac:dyDescent="0.2">
      <c r="A18" s="167"/>
      <c r="B18" s="165"/>
      <c r="C18" s="167"/>
      <c r="D18" s="168"/>
    </row>
    <row r="19" spans="1:4" x14ac:dyDescent="0.2">
      <c r="A19" s="167"/>
      <c r="B19" s="165"/>
      <c r="C19" s="167"/>
      <c r="D19" s="168"/>
    </row>
    <row r="20" spans="1:4" x14ac:dyDescent="0.2">
      <c r="A20" s="167"/>
      <c r="B20" s="165"/>
      <c r="C20" s="167"/>
      <c r="D20" s="168"/>
    </row>
    <row r="21" spans="1:4" x14ac:dyDescent="0.2">
      <c r="A21" s="167"/>
      <c r="B21" s="165"/>
      <c r="C21" s="167"/>
      <c r="D21" s="168"/>
    </row>
    <row r="22" spans="1:4" x14ac:dyDescent="0.2">
      <c r="A22" s="167"/>
      <c r="B22" s="165"/>
      <c r="C22" s="167"/>
      <c r="D22" s="168"/>
    </row>
    <row r="23" spans="1:4" x14ac:dyDescent="0.2">
      <c r="A23" s="167"/>
      <c r="B23" s="165"/>
      <c r="C23" s="167"/>
      <c r="D23" s="141"/>
    </row>
    <row r="24" spans="1:4" x14ac:dyDescent="0.2">
      <c r="A24" s="167"/>
      <c r="B24" s="165"/>
      <c r="C24" s="167"/>
      <c r="D24" s="141"/>
    </row>
    <row r="25" spans="1:4" x14ac:dyDescent="0.2">
      <c r="A25" s="167"/>
      <c r="B25" s="165"/>
      <c r="C25" s="167"/>
      <c r="D25" s="141"/>
    </row>
    <row r="26" spans="1:4" x14ac:dyDescent="0.2">
      <c r="A26" s="167"/>
      <c r="B26" s="165"/>
      <c r="C26" s="167"/>
      <c r="D26" s="141"/>
    </row>
    <row r="27" spans="1:4" x14ac:dyDescent="0.2">
      <c r="A27" s="167"/>
      <c r="B27" s="165"/>
      <c r="C27" s="167"/>
      <c r="D27" s="141"/>
    </row>
    <row r="28" spans="1:4" x14ac:dyDescent="0.2">
      <c r="A28" s="167"/>
      <c r="B28" s="165"/>
      <c r="C28" s="167"/>
      <c r="D28" s="141"/>
    </row>
    <row r="29" spans="1:4" x14ac:dyDescent="0.2">
      <c r="A29" s="167"/>
      <c r="B29" s="165"/>
      <c r="C29" s="167"/>
      <c r="D29" s="141"/>
    </row>
    <row r="30" spans="1:4" x14ac:dyDescent="0.2">
      <c r="A30" s="167"/>
      <c r="B30" s="165"/>
      <c r="C30" s="167"/>
      <c r="D30" s="141"/>
    </row>
    <row r="31" spans="1:4" x14ac:dyDescent="0.2">
      <c r="A31" s="167"/>
      <c r="B31" s="165"/>
      <c r="C31" s="167"/>
      <c r="D31" s="141"/>
    </row>
    <row r="32" spans="1:4" x14ac:dyDescent="0.2">
      <c r="A32" s="167"/>
      <c r="B32" s="165"/>
      <c r="C32" s="167"/>
      <c r="D32" s="141"/>
    </row>
    <row r="33" spans="1:4" x14ac:dyDescent="0.2">
      <c r="A33" s="167"/>
      <c r="B33" s="165"/>
      <c r="C33" s="167"/>
      <c r="D33" s="141"/>
    </row>
    <row r="34" spans="1:4" x14ac:dyDescent="0.2">
      <c r="A34" s="167"/>
      <c r="B34" s="165"/>
      <c r="C34" s="167"/>
      <c r="D34" s="141"/>
    </row>
    <row r="35" spans="1:4" x14ac:dyDescent="0.2">
      <c r="A35" s="167"/>
      <c r="B35" s="165"/>
      <c r="C35" s="167"/>
      <c r="D35" s="141"/>
    </row>
    <row r="36" spans="1:4" x14ac:dyDescent="0.2">
      <c r="A36" s="167"/>
      <c r="B36" s="165"/>
      <c r="C36" s="167"/>
      <c r="D36" s="141"/>
    </row>
    <row r="37" spans="1:4" x14ac:dyDescent="0.2">
      <c r="A37" s="167"/>
      <c r="B37" s="165"/>
      <c r="C37" s="167"/>
      <c r="D37" s="141"/>
    </row>
    <row r="38" spans="1:4" x14ac:dyDescent="0.2">
      <c r="A38" s="167"/>
      <c r="B38" s="165"/>
      <c r="C38" s="167"/>
      <c r="D38" s="141"/>
    </row>
    <row r="39" spans="1:4" x14ac:dyDescent="0.2">
      <c r="A39" s="167"/>
      <c r="B39" s="165"/>
      <c r="C39" s="167"/>
      <c r="D39" s="141"/>
    </row>
    <row r="40" spans="1:4" x14ac:dyDescent="0.2">
      <c r="A40" s="167"/>
      <c r="B40" s="165"/>
      <c r="C40" s="167"/>
      <c r="D40" s="141"/>
    </row>
    <row r="41" spans="1:4" x14ac:dyDescent="0.2">
      <c r="A41" s="167"/>
      <c r="B41" s="165"/>
      <c r="C41" s="167"/>
      <c r="D41" s="141"/>
    </row>
    <row r="42" spans="1:4" x14ac:dyDescent="0.2">
      <c r="A42" s="167"/>
      <c r="B42" s="165"/>
      <c r="C42" s="167"/>
      <c r="D42" s="141"/>
    </row>
    <row r="43" spans="1:4" x14ac:dyDescent="0.2">
      <c r="A43" s="167"/>
      <c r="B43" s="165"/>
      <c r="C43" s="167"/>
      <c r="D43" s="141"/>
    </row>
    <row r="44" spans="1:4" x14ac:dyDescent="0.2">
      <c r="A44" s="167"/>
      <c r="B44" s="165"/>
      <c r="C44" s="167"/>
      <c r="D44" s="141"/>
    </row>
    <row r="45" spans="1:4" x14ac:dyDescent="0.2">
      <c r="A45" s="167"/>
      <c r="B45" s="165"/>
      <c r="C45" s="167"/>
      <c r="D45" s="141"/>
    </row>
    <row r="46" spans="1:4" x14ac:dyDescent="0.2">
      <c r="A46" s="167"/>
      <c r="B46" s="165"/>
      <c r="C46" s="167"/>
      <c r="D46" s="141"/>
    </row>
    <row r="47" spans="1:4" x14ac:dyDescent="0.2">
      <c r="A47" s="167"/>
      <c r="B47" s="165"/>
      <c r="C47" s="167"/>
      <c r="D47" s="141"/>
    </row>
    <row r="48" spans="1:4" x14ac:dyDescent="0.2">
      <c r="A48" s="167"/>
      <c r="B48" s="165"/>
      <c r="C48" s="167"/>
      <c r="D48" s="141"/>
    </row>
    <row r="49" spans="1:4" x14ac:dyDescent="0.2">
      <c r="A49" s="167"/>
      <c r="B49" s="165"/>
      <c r="C49" s="167"/>
      <c r="D49" s="141"/>
    </row>
    <row r="50" spans="1:4" x14ac:dyDescent="0.2">
      <c r="A50" s="167"/>
      <c r="B50" s="165"/>
      <c r="C50" s="167"/>
      <c r="D50" s="141"/>
    </row>
  </sheetData>
  <sheetProtection password="EBD9" sheet="1"/>
  <protectedRanges>
    <protectedRange sqref="A2:D50" name="Range1"/>
  </protectedRange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6"/>
  <sheetViews>
    <sheetView workbookViewId="0"/>
  </sheetViews>
  <sheetFormatPr defaultRowHeight="12.75" x14ac:dyDescent="0.2"/>
  <cols>
    <col min="1" max="1" width="14.85546875" bestFit="1" customWidth="1"/>
  </cols>
  <sheetData>
    <row r="1" spans="1:1" x14ac:dyDescent="0.2">
      <c r="A1" t="s">
        <v>226</v>
      </c>
    </row>
    <row r="2" spans="1:1" x14ac:dyDescent="0.2">
      <c r="A2" t="s">
        <v>227</v>
      </c>
    </row>
    <row r="5" spans="1:1" x14ac:dyDescent="0.2">
      <c r="A5" t="str">
        <f>Criteria!A5</f>
        <v>Presentation</v>
      </c>
    </row>
    <row r="6" spans="1:1" x14ac:dyDescent="0.2">
      <c r="A6" t="str">
        <f>Criteria!A16</f>
        <v>Code (Entity)</v>
      </c>
    </row>
    <row r="7" spans="1:1" x14ac:dyDescent="0.2">
      <c r="A7" t="str">
        <f>Criteria!A17</f>
        <v>Code (Business)</v>
      </c>
    </row>
    <row r="8" spans="1:1" x14ac:dyDescent="0.2">
      <c r="A8" t="str">
        <f>Criteria!A19</f>
        <v>Code (Data)</v>
      </c>
    </row>
    <row r="9" spans="1:1" x14ac:dyDescent="0.2">
      <c r="A9" t="str">
        <f>Criteria!A21</f>
        <v>Code (Batch)</v>
      </c>
    </row>
    <row r="10" spans="1:1" x14ac:dyDescent="0.2">
      <c r="A10" t="str">
        <f>Criteria!A23</f>
        <v>Code (Generic)</v>
      </c>
    </row>
    <row r="11" spans="1:1" x14ac:dyDescent="0.2">
      <c r="A11" t="str">
        <f>Criteria!A36</f>
        <v>Data</v>
      </c>
    </row>
    <row r="12" spans="1:1" x14ac:dyDescent="0.2">
      <c r="A12" t="str">
        <f>Criteria!A42</f>
        <v>Report</v>
      </c>
    </row>
    <row r="13" spans="1:1" x14ac:dyDescent="0.2">
      <c r="A13" t="str">
        <f>Criteria!A46</f>
        <v>XML</v>
      </c>
    </row>
    <row r="14" spans="1:1" x14ac:dyDescent="0.2">
      <c r="A14" t="str">
        <f>Criteria!A50</f>
        <v>Script</v>
      </c>
    </row>
    <row r="15" spans="1:1" x14ac:dyDescent="0.2">
      <c r="A15" t="str">
        <f>Criteria!A54</f>
        <v>Other Web</v>
      </c>
    </row>
    <row r="16" spans="1:1" x14ac:dyDescent="0.2">
      <c r="A16" t="str">
        <f>Criteria!A58</f>
        <v>Other Windows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2618C6430127642BC1768AD10DE09BB" ma:contentTypeVersion="0" ma:contentTypeDescription="Create a new document." ma:contentTypeScope="" ma:versionID="85fa87f68579bd7ef6bc50d3872a4a2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1072478-8FEA-496C-87F0-EEF8F0AA6F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9B8198D-6FFE-4AF6-833E-D93C71F2362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552253A-D995-4817-ABE8-2469BEE30D96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15</vt:i4>
      </vt:variant>
    </vt:vector>
  </HeadingPairs>
  <TitlesOfParts>
    <vt:vector size="30" baseType="lpstr">
      <vt:lpstr>Instructions</vt:lpstr>
      <vt:lpstr>Criteria</vt:lpstr>
      <vt:lpstr>Matrix(0)</vt:lpstr>
      <vt:lpstr>Produce(1)</vt:lpstr>
      <vt:lpstr>Component Count (2)</vt:lpstr>
      <vt:lpstr>Assumptions(3)</vt:lpstr>
      <vt:lpstr>MDS(4)</vt:lpstr>
      <vt:lpstr>Magnitude(5)</vt:lpstr>
      <vt:lpstr>Pre-staff(4)</vt:lpstr>
      <vt:lpstr>Other Costs</vt:lpstr>
      <vt:lpstr>Calcs</vt:lpstr>
      <vt:lpstr>Grau W IBBA(6)</vt:lpstr>
      <vt:lpstr>Amendment History</vt:lpstr>
      <vt:lpstr>Misselaneuos</vt:lpstr>
      <vt:lpstr>Sheet1</vt:lpstr>
      <vt:lpstr>Change_Pct</vt:lpstr>
      <vt:lpstr>Instructions!Effort_Level</vt:lpstr>
      <vt:lpstr>Effort_Level</vt:lpstr>
      <vt:lpstr>Factor_Range</vt:lpstr>
      <vt:lpstr>Instructions!Print_Area</vt:lpstr>
      <vt:lpstr>'Matrix(0)'!Print_Area</vt:lpstr>
      <vt:lpstr>'Other Costs'!Print_Area</vt:lpstr>
      <vt:lpstr>'Pre-staff(4)'!Print_Area</vt:lpstr>
      <vt:lpstr>'Produce(1)'!Print_Area</vt:lpstr>
      <vt:lpstr>'Other Costs'!Print_Titles</vt:lpstr>
      <vt:lpstr>'Produce(1)'!Print_Titles</vt:lpstr>
      <vt:lpstr>Project_Name</vt:lpstr>
      <vt:lpstr>Rep_Pct</vt:lpstr>
      <vt:lpstr>Total_Hours</vt:lpstr>
      <vt:lpstr>Total_Produce</vt:lpstr>
    </vt:vector>
  </TitlesOfParts>
  <Company>Interactive Marketing Services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Wayne Tyson</dc:creator>
  <cp:lastModifiedBy>Santos, Guilherme</cp:lastModifiedBy>
  <cp:lastPrinted>2010-08-17T19:05:44Z</cp:lastPrinted>
  <dcterms:created xsi:type="dcterms:W3CDTF">2000-08-17T21:28:58Z</dcterms:created>
  <dcterms:modified xsi:type="dcterms:W3CDTF">2015-09-28T19:25:21Z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0x01010042618C6430127642BC1768AD10DE09BB</vt:lpwstr>
  </property>
</Properties>
</file>